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inju\Downloads\"/>
    </mc:Choice>
  </mc:AlternateContent>
  <xr:revisionPtr revIDLastSave="0" documentId="13_ncr:1_{E43F144F-91B5-4F0A-82A8-2EEA4EC2CD68}" xr6:coauthVersionLast="47" xr6:coauthVersionMax="47" xr10:uidLastSave="{00000000-0000-0000-0000-000000000000}"/>
  <bookViews>
    <workbookView xWindow="28680" yWindow="45" windowWidth="29040" windowHeight="15720" xr2:uid="{00000000-000D-0000-FFFF-FFFF00000000}"/>
  </bookViews>
  <sheets>
    <sheet name="Dashboard" sheetId="11" r:id="rId1"/>
    <sheet name="Sales_Data" sheetId="1" r:id="rId2"/>
    <sheet name="Project_Guide" sheetId="2" r:id="rId3"/>
    <sheet name="Data_Dictionary" sheetId="3" r:id="rId4"/>
    <sheet name="Revenue by Region" sheetId="4" r:id="rId5"/>
    <sheet name="Quantity by Region" sheetId="5" r:id="rId6"/>
    <sheet name="Revenue by Category" sheetId="6" r:id="rId7"/>
    <sheet name="Profit by Category" sheetId="8" r:id="rId8"/>
    <sheet name="Monthly Revenue" sheetId="9" r:id="rId9"/>
    <sheet name="Revenue by Customer Segment" sheetId="10" r:id="rId10"/>
  </sheets>
  <definedNames>
    <definedName name="Slicer_Category">#N/A</definedName>
    <definedName name="Slicer_Customer_Segment">#N/A</definedName>
    <definedName name="Slicer_Region">#N/A</definedName>
    <definedName name="Slicer_Sales_Channel">#N/A</definedName>
  </definedNames>
  <calcPr calcId="0"/>
  <pivotCaches>
    <pivotCache cacheId="1"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Lst>
</workbook>
</file>

<file path=xl/sharedStrings.xml><?xml version="1.0" encoding="utf-8"?>
<sst xmlns="http://schemas.openxmlformats.org/spreadsheetml/2006/main" count="4315" uniqueCount="713">
  <si>
    <t>Order ID</t>
  </si>
  <si>
    <t>Order Date</t>
  </si>
  <si>
    <t>Region</t>
  </si>
  <si>
    <t>City</t>
  </si>
  <si>
    <t>Customer Segment</t>
  </si>
  <si>
    <t>Sales Channel</t>
  </si>
  <si>
    <t>Category</t>
  </si>
  <si>
    <t>Product</t>
  </si>
  <si>
    <t>Quantity</t>
  </si>
  <si>
    <t>Unit Price</t>
  </si>
  <si>
    <t>Revenue</t>
  </si>
  <si>
    <t>Unit Cost</t>
  </si>
  <si>
    <t>Total Cost</t>
  </si>
  <si>
    <t>Profit</t>
  </si>
  <si>
    <t>Profit Margin</t>
  </si>
  <si>
    <t>Monthly Target</t>
  </si>
  <si>
    <t>ORD-0001</t>
  </si>
  <si>
    <t>South</t>
  </si>
  <si>
    <t>Houston</t>
  </si>
  <si>
    <t>Corporate</t>
  </si>
  <si>
    <t>Online</t>
  </si>
  <si>
    <t>Office Supplies</t>
  </si>
  <si>
    <t>Desk Organizer</t>
  </si>
  <si>
    <t>ORD-0002</t>
  </si>
  <si>
    <t>Central</t>
  </si>
  <si>
    <t>Chicago</t>
  </si>
  <si>
    <t>Consumer</t>
  </si>
  <si>
    <t>Furniture</t>
  </si>
  <si>
    <t>Bookshelf</t>
  </si>
  <si>
    <t>ORD-0003</t>
  </si>
  <si>
    <t>Denver</t>
  </si>
  <si>
    <t>Printer Paper</t>
  </si>
  <si>
    <t>ORD-0004</t>
  </si>
  <si>
    <t>West</t>
  </si>
  <si>
    <t>Seattle</t>
  </si>
  <si>
    <t>Technology</t>
  </si>
  <si>
    <t>Wireless Mouse</t>
  </si>
  <si>
    <t>ORD-0005</t>
  </si>
  <si>
    <t>San Antonio</t>
  </si>
  <si>
    <t>ORD-0006</t>
  </si>
  <si>
    <t>East</t>
  </si>
  <si>
    <t>New York</t>
  </si>
  <si>
    <t>Small Business</t>
  </si>
  <si>
    <t>Sales Representative</t>
  </si>
  <si>
    <t>Office Chair</t>
  </si>
  <si>
    <t>ORD-0007</t>
  </si>
  <si>
    <t>Philadelphia</t>
  </si>
  <si>
    <t>Ink Cartridge</t>
  </si>
  <si>
    <t>ORD-0008</t>
  </si>
  <si>
    <t>Kansas City</t>
  </si>
  <si>
    <t>Retail Store</t>
  </si>
  <si>
    <t>ORD-0009</t>
  </si>
  <si>
    <t>Los Angeles</t>
  </si>
  <si>
    <t>ORD-0010</t>
  </si>
  <si>
    <t>Phoenix</t>
  </si>
  <si>
    <t>Standing Desk</t>
  </si>
  <si>
    <t>ORD-0011</t>
  </si>
  <si>
    <t>Miami</t>
  </si>
  <si>
    <t>Laptop</t>
  </si>
  <si>
    <t>ORD-0012</t>
  </si>
  <si>
    <t>Dallas</t>
  </si>
  <si>
    <t>ORD-0013</t>
  </si>
  <si>
    <t>ORD-0014</t>
  </si>
  <si>
    <t>Monitor</t>
  </si>
  <si>
    <t>ORD-0015</t>
  </si>
  <si>
    <t>Boston</t>
  </si>
  <si>
    <t>ORD-0016</t>
  </si>
  <si>
    <t>ORD-0017</t>
  </si>
  <si>
    <t>San Diego</t>
  </si>
  <si>
    <t>ORD-0018</t>
  </si>
  <si>
    <t>ORD-0019</t>
  </si>
  <si>
    <t>ORD-0020</t>
  </si>
  <si>
    <t>ORD-0021</t>
  </si>
  <si>
    <t>ORD-0022</t>
  </si>
  <si>
    <t>Minneapolis</t>
  </si>
  <si>
    <t>ORD-0023</t>
  </si>
  <si>
    <t>ORD-0024</t>
  </si>
  <si>
    <t>ORD-0025</t>
  </si>
  <si>
    <t>ORD-0026</t>
  </si>
  <si>
    <t>ORD-0027</t>
  </si>
  <si>
    <t>Austin</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</si>
  <si>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</si>
  <si>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</si>
  <si>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</si>
  <si>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</si>
  <si>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</si>
  <si>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</si>
  <si>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</si>
  <si>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</si>
  <si>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</si>
  <si>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</si>
  <si>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</si>
  <si>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</si>
  <si>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</si>
  <si>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</si>
  <si>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</si>
  <si>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</si>
  <si>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</si>
  <si>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</si>
  <si>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</si>
  <si>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</si>
  <si>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</si>
  <si>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</si>
  <si>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</si>
  <si>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</si>
  <si>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</si>
  <si>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</si>
  <si>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</si>
  <si>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</si>
  <si>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</si>
  <si>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</si>
  <si>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</si>
  <si>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</si>
  <si>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</si>
  <si>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</si>
  <si>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</si>
  <si>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</si>
  <si>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</si>
  <si>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</si>
  <si>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</si>
  <si>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</si>
  <si>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</si>
  <si>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</si>
  <si>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</si>
  <si>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</si>
  <si>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</si>
  <si>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</si>
  <si>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</si>
  <si>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</si>
  <si>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</si>
  <si>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</si>
  <si>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</si>
  <si>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</si>
  <si>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</si>
  <si>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</si>
  <si>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</si>
  <si>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</si>
  <si>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</si>
  <si>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</si>
  <si>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</si>
  <si>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</si>
  <si>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</si>
  <si>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</si>
  <si>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</si>
  <si>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</si>
  <si>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</si>
  <si>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</si>
  <si>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</si>
  <si>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</si>
  <si>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</si>
  <si>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</si>
  <si>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</si>
  <si>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</si>
  <si>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</si>
  <si>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</si>
  <si>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</si>
  <si>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</si>
  <si>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</si>
  <si>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</si>
  <si>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</si>
  <si>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</si>
  <si>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</si>
  <si>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</si>
  <si>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</si>
  <si>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</si>
  <si>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</si>
  <si>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</si>
  <si>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</si>
  <si>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</si>
  <si>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</si>
  <si>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</si>
  <si>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</si>
  <si>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</si>
  <si>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</si>
  <si>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</si>
  <si>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</si>
  <si>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</si>
  <si>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</si>
  <si>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</si>
  <si>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</si>
  <si>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</si>
  <si>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</si>
  <si>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</si>
  <si>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</si>
  <si>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</si>
  <si>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</si>
  <si>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</si>
  <si>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</si>
  <si>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</si>
  <si>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</si>
  <si>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</si>
  <si>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</si>
  <si>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</si>
  <si>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</si>
  <si>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</si>
  <si>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</si>
  <si>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</si>
  <si>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</si>
  <si>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</si>
  <si>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</si>
  <si>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</si>
  <si>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</si>
  <si>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</si>
  <si>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</si>
  <si>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</si>
  <si>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</si>
  <si>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</si>
  <si>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</si>
  <si>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</si>
  <si>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</si>
  <si>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</si>
  <si>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</si>
  <si>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</si>
  <si>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</si>
  <si>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</si>
  <si>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</si>
  <si>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</si>
  <si>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</si>
  <si>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</si>
  <si>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</si>
  <si>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</si>
  <si>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</si>
  <si>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</si>
  <si>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</si>
  <si>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</si>
  <si>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</si>
  <si>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</si>
  <si>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</si>
  <si>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</si>
  <si>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</si>
  <si>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</si>
  <si>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</si>
  <si>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</si>
  <si>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</si>
  <si>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</si>
  <si>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</si>
  <si>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</si>
  <si>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</si>
  <si>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</si>
  <si>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</si>
  <si>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</si>
  <si>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</si>
  <si>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</si>
  <si>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</si>
  <si>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</si>
  <si>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</si>
  <si>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</si>
  <si>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</si>
  <si>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</si>
  <si>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</si>
  <si>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</si>
  <si>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</si>
  <si>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</si>
  <si>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</si>
  <si>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</si>
  <si>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</si>
  <si>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</si>
  <si>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</si>
  <si>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</si>
  <si>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</si>
  <si>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</si>
  <si>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</si>
  <si>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</si>
  <si>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</si>
  <si>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</si>
  <si>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</si>
  <si>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</si>
  <si>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</si>
  <si>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</si>
  <si>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</si>
  <si>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</si>
  <si>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</si>
  <si>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</si>
  <si>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</si>
  <si>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</si>
  <si>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</si>
  <si>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</si>
  <si>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</si>
  <si>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</si>
  <si>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</si>
  <si>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</si>
  <si>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</si>
  <si>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</si>
  <si>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</si>
  <si>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</si>
  <si>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</si>
  <si>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</si>
  <si>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</si>
  <si>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</si>
  <si>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</si>
  <si>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</si>
  <si>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</si>
  <si>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</si>
  <si>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</si>
  <si>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</si>
  <si>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</si>
  <si>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</si>
  <si>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</si>
  <si>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</si>
  <si>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</si>
  <si>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</si>
  <si>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</si>
  <si>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</si>
  <si>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</si>
  <si>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</si>
  <si>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</si>
  <si>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</si>
  <si>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</si>
  <si>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</si>
  <si>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</si>
  <si>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</si>
  <si>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</si>
  <si>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</si>
  <si>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</si>
  <si>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</si>
  <si>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</si>
  <si>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</si>
  <si>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</si>
  <si>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</si>
  <si>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</si>
  <si>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</si>
  <si>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</si>
  <si>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</si>
  <si>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</si>
  <si>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</si>
  <si>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</si>
  <si>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</si>
  <si>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</si>
  <si>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</si>
  <si>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</si>
  <si>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</si>
  <si>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</si>
  <si>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</si>
  <si>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</si>
  <si>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</si>
  <si>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</si>
  <si>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</si>
  <si>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</si>
  <si>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</si>
  <si>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</si>
  <si>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</si>
  <si>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</si>
  <si>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</si>
  <si>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</si>
  <si>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</si>
  <si>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</si>
  <si>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</si>
  <si>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</si>
  <si>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</si>
  <si>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</si>
  <si>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</si>
  <si>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</si>
  <si>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</si>
  <si>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</si>
  <si>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</si>
  <si>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</si>
  <si>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</si>
  <si>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</si>
  <si>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</si>
  <si>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</si>
  <si>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</si>
  <si>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</si>
  <si>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</si>
  <si>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</si>
  <si>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</si>
  <si>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</si>
  <si>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</si>
  <si>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</si>
  <si>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</si>
  <si>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</si>
  <si>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</si>
  <si>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</si>
  <si>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</si>
  <si>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</si>
  <si>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</si>
  <si>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</si>
  <si>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</si>
  <si>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</si>
  <si>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</si>
  <si>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</si>
  <si>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</si>
  <si>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</si>
  <si>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</si>
  <si>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</si>
  <si>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</si>
  <si>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</si>
  <si>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</si>
  <si>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</si>
  <si>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</si>
  <si>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</si>
  <si>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</si>
  <si>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</si>
  <si>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</si>
  <si>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</si>
  <si>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</si>
  <si>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</si>
  <si>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</si>
  <si>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</si>
  <si>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</si>
  <si>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</si>
  <si>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</si>
  <si>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</si>
  <si>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</si>
  <si>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</si>
  <si>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</si>
  <si>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</si>
  <si>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</si>
  <si>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</si>
  <si>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</si>
  <si>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</si>
  <si>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</si>
  <si>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</si>
  <si>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</si>
  <si>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</si>
  <si>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</si>
  <si>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</si>
  <si>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</si>
  <si>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</si>
  <si>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</si>
  <si>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</si>
  <si>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</si>
  <si>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</si>
  <si>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</si>
  <si>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</si>
  <si>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</si>
  <si>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</si>
  <si>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</si>
  <si>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</si>
  <si>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</si>
  <si>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</si>
  <si>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</si>
  <si>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</si>
  <si>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</si>
  <si>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</si>
  <si>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</si>
  <si>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</si>
  <si>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</si>
  <si>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</si>
  <si>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</si>
  <si>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</si>
  <si>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</si>
  <si>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</si>
  <si>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</si>
  <si>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</si>
  <si>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</si>
  <si>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</si>
  <si>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</si>
  <si>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</si>
  <si>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</si>
  <si>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</si>
  <si>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</si>
  <si>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</si>
  <si>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</si>
  <si>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</si>
  <si>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</si>
  <si>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</si>
  <si>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</si>
  <si>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</si>
  <si>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</si>
  <si>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</si>
  <si>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</si>
  <si>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</si>
  <si>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</si>
  <si>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</si>
  <si>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</si>
  <si>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</si>
  <si>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</si>
  <si>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</si>
  <si>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</si>
  <si>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</si>
  <si>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</si>
  <si>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</si>
  <si>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</si>
  <si>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</si>
  <si>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</si>
  <si>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</si>
  <si>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</si>
  <si>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</si>
  <si>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</si>
  <si>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</si>
  <si>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</si>
  <si>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</si>
  <si>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</si>
  <si>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</si>
  <si>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</si>
  <si>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</si>
  <si>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</si>
  <si>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</si>
  <si>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</si>
  <si>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</si>
  <si>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</si>
  <si>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</si>
  <si>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</si>
  <si>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</si>
  <si>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</si>
  <si>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</si>
  <si>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</si>
  <si>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</si>
  <si>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</si>
  <si>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</si>
  <si>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</si>
  <si>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</si>
  <si>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</si>
  <si>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</si>
  <si>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</si>
  <si>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</si>
  <si>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</si>
  <si>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</si>
  <si>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</si>
  <si>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</si>
  <si>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</si>
  <si>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</si>
  <si>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</si>
  <si>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</si>
  <si>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</si>
  <si>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</si>
  <si>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</si>
  <si>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</si>
  <si>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</si>
  <si>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</si>
  <si>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</si>
  <si>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</si>
  <si>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</si>
  <si>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</si>
  <si>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</si>
  <si>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</si>
  <si>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</si>
  <si>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</si>
  <si>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</si>
  <si>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</si>
  <si>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</si>
  <si>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</si>
  <si>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</si>
  <si>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</si>
  <si>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</si>
  <si>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</si>
  <si>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</si>
  <si>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</si>
  <si>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</si>
  <si>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</si>
  <si>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</si>
  <si>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</si>
  <si>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</si>
  <si>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</si>
  <si>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</si>
  <si>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</si>
  <si>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</si>
  <si>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</si>
  <si>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</si>
  <si>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</si>
  <si>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</si>
  <si>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</si>
  <si>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</si>
  <si>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</si>
  <si>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</si>
  <si>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</si>
  <si>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</si>
  <si>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</si>
  <si>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</si>
  <si>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</si>
  <si>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</si>
  <si>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</si>
  <si>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</si>
  <si>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</si>
  <si>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</si>
  <si>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</si>
  <si>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</si>
  <si>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</si>
  <si>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</si>
  <si>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</si>
  <si>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</si>
  <si>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</si>
  <si>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</si>
  <si>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</si>
  <si>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</si>
  <si>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</si>
  <si>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</si>
  <si>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</si>
  <si>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</si>
  <si>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</si>
  <si>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ORD-0527</t>
  </si>
  <si>
    <t>ORD-0528</t>
  </si>
  <si>
    <t>ORD-0529</t>
  </si>
  <si>
    <t>ORD-0530</t>
  </si>
  <si>
    <t>ORD-0531</t>
  </si>
  <si>
    <t>ORD-0532</t>
  </si>
  <si>
    <t>ORD-0533</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</si>
  <si>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</si>
  <si>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</si>
  <si>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</si>
  <si>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</si>
  <si>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</si>
  <si>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</si>
  <si>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</si>
  <si>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</si>
  <si>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</si>
  <si>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</si>
  <si>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</si>
  <si>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</si>
  <si>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</si>
  <si>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</si>
  <si>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</si>
  <si>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</si>
  <si>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</si>
  <si>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</si>
  <si>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</si>
  <si>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</si>
  <si>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</si>
  <si>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</si>
  <si>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</si>
  <si>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</si>
  <si>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</si>
  <si>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</si>
  <si>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</si>
  <si>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</si>
  <si>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</si>
  <si>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ORD-0563</t>
  </si>
  <si>
    <t>ORD-0564</t>
  </si>
  <si>
    <t>ORD-0565</t>
  </si>
  <si>
    <t>ORD-0566</t>
  </si>
  <si>
    <t>ORD-0567</t>
  </si>
  <si>
    <t>ORD-0568</t>
  </si>
  <si>
    <t>ORD-0569</t>
  </si>
  <si>
    <t>ORD-0570</t>
  </si>
  <si>
    <t>ORD-0571</t>
  </si>
  <si>
    <t>ORD-0572</t>
  </si>
  <si>
    <t>ORD-0573</t>
  </si>
  <si>
    <t>ORD-0574</t>
  </si>
  <si>
    <t>ORD-0575</t>
  </si>
  <si>
    <t>ORD-0576</t>
  </si>
  <si>
    <t>ORD-0577</t>
  </si>
  <si>
    <t>ORD-0578</t>
  </si>
  <si>
    <t>ORD-0579</t>
  </si>
  <si>
    <t>ORD-0580</t>
  </si>
  <si>
    <t>ORD-0581</t>
  </si>
  <si>
    <t>ORD-0582</t>
  </si>
  <si>
    <t>ORD-0583</t>
  </si>
  <si>
    <t>ORD-0584</t>
  </si>
  <si>
    <t>ORD-0585</t>
  </si>
  <si>
    <t>ORD-0586</t>
  </si>
  <si>
    <t>ORD-0587</t>
  </si>
  <si>
    <t>ORD-0588</t>
  </si>
  <si>
    <t>ORD-0589</t>
  </si>
  <si>
    <t>ORD-0590</t>
  </si>
  <si>
    <t>ORD-0591</t>
  </si>
  <si>
    <t>ORD-0592</t>
  </si>
  <si>
    <t>ORD-0593</t>
  </si>
  <si>
    <t>ORD-0594</t>
  </si>
  <si>
    <t>ORD-0595</t>
  </si>
  <si>
    <t>ORD-0596</t>
  </si>
  <si>
    <t>ORD-0597</t>
  </si>
  <si>
    <t>ORD-0598</t>
  </si>
  <si>
    <t>ORD-0599</t>
  </si>
  <si>
    <t>ORD-0600</t>
  </si>
  <si>
    <t>PROJECT 1: EXECUTIVE SALES PERFORMANCE DASHBOARD</t>
  </si>
  <si>
    <t>Goal</t>
  </si>
  <si>
    <t>Build a beginner-friendly Excel and Power BI project that helps leadership track revenue, profit, sales trends, regional performance, product performance, and progress against targets.</t>
  </si>
  <si>
    <t>Recommended tools</t>
  </si>
  <si>
    <t>Excel first, then Power BI Desktop.</t>
  </si>
  <si>
    <t>Business questions to answer</t>
  </si>
  <si>
    <t>1. What are total revenue, total profit, profit margin, and total orders?</t>
  </si>
  <si>
    <t>2. How do revenue and profit change by month?</t>
  </si>
  <si>
    <t>3. Which regions, categories, and products perform best?</t>
  </si>
  <si>
    <t>4. Which customer segments and sales channels generate the most revenue?</t>
  </si>
  <si>
    <t>5. Which regions are above or below target?</t>
  </si>
  <si>
    <t>Suggested dashboard pages</t>
  </si>
  <si>
    <t>Page 1 — Executive Overview: KPI cards, monthly trend, revenue by region, profit by category.</t>
  </si>
  <si>
    <t>Page 2 — Product &amp; Customer Analysis: top products, customer segments, sales channels.</t>
  </si>
  <si>
    <t>Page 3 — Target Performance: actual revenue vs target by region and month.</t>
  </si>
  <si>
    <t>First task</t>
  </si>
  <si>
    <t>Open the Sales_Data sheet. Review the columns and confirm you can identify Order Date, Region, Category, Product, Revenue, Profit, Profit Margin, and Monthly Target.</t>
  </si>
  <si>
    <t>Important</t>
  </si>
  <si>
    <t>This dataset is synthetic and created for portfolio practice. Do not describe it as real company data.</t>
  </si>
  <si>
    <t>Column</t>
  </si>
  <si>
    <t>Meaning</t>
  </si>
  <si>
    <t>Unique identifier for each order</t>
  </si>
  <si>
    <t>Date the order was placed</t>
  </si>
  <si>
    <t>Geographic sales region</t>
  </si>
  <si>
    <t>City associated with the order</t>
  </si>
  <si>
    <t>Consumer, Corporate, or Small Business</t>
  </si>
  <si>
    <t>Online, Retail Store, or Sales Representative</t>
  </si>
  <si>
    <t>Product category</t>
  </si>
  <si>
    <t>Product sold</t>
  </si>
  <si>
    <t>Number of units sold</t>
  </si>
  <si>
    <t>Selling price per unit</t>
  </si>
  <si>
    <t>Quantity × Unit Price</t>
  </si>
  <si>
    <t>Estimated cost per unit</t>
  </si>
  <si>
    <t>Quantity × Unit Cost</t>
  </si>
  <si>
    <t>Revenue − Total Cost</t>
  </si>
  <si>
    <t>Profit ÷ Revenue</t>
  </si>
  <si>
    <t>Regional monthly revenue target used for dashboard practice</t>
  </si>
  <si>
    <t>Grand Total</t>
  </si>
  <si>
    <t>Sum of Revenue</t>
  </si>
  <si>
    <t>How much revenue did each region generate?"</t>
  </si>
  <si>
    <t>Sum of Quantity</t>
  </si>
  <si>
    <t>Sum of Profit</t>
  </si>
  <si>
    <t>Jan</t>
  </si>
  <si>
    <t>Feb</t>
  </si>
  <si>
    <t>Mar</t>
  </si>
  <si>
    <t>Apr</t>
  </si>
  <si>
    <t>May</t>
  </si>
  <si>
    <t>Jun</t>
  </si>
  <si>
    <t>Jul</t>
  </si>
  <si>
    <t>Aug</t>
  </si>
  <si>
    <t>Sep</t>
  </si>
  <si>
    <t>Oct</t>
  </si>
  <si>
    <t>Nov</t>
  </si>
  <si>
    <t>Dec</t>
  </si>
  <si>
    <t>2025</t>
  </si>
  <si>
    <t>Years (Order Date)</t>
  </si>
  <si>
    <t>Months (Order Date)</t>
  </si>
  <si>
    <t>2025 Total</t>
  </si>
  <si>
    <t>Sales Performance Overview |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</si>
</sst>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numFmt numFmtId="165" formatCode="\$#,##0.00"/>
    <numFmt numFmtId="166" formatCode="0.0%"/>
  </numFmts>
  <fonts count="7">
    <font>
      <sz val="11"/>
      <name val="Carlito"/>
    </font>
    <font>
      <b/>
      <sz val="11"/>
      <color rgb="FFFFFFFF"/>
      <name val="Carlito"/>
    </font>
    <font>
      <b/>
      <sz val="16"/>
      <color rgb="FFFFFFFF"/>
      <name val="Carlito"/>
    </font>
    <font>
      <b/>
      <sz val="12"/>
      <name val="Carlito"/>
    </font>
    <font>
      <sz val="8"/>
      <name val="Carlito"/>
    </font>
    <font>
      <sz val="14"/>
      <color theme="2" tint="-0.499984740745262"/>
      <name val="Carlito"/>
    </font>
    <font>
      <sz val="14"/>
      <color theme="2" tint="-0.499984740745262"/>
      <name val="Calibri"/>
      <family val="2"/>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14">
    <xf numFmtId="0" fontId="0" fillId="0" borderId="0" xfId="0"/>
    <xf numFmtId="0" fontId="1" fillId="2" borderId="0" xfId="0" applyFont="1" applyFill="1" applyAlignment="1">
      <alignment horizontal="center" vertical="center"/>
    </xf>
    <xf numFmtId="164" fontId="0" fillId="0" borderId="0" xfId="0" applyNumberFormat="1"/>
    <xf numFmtId="165" fontId="0" fillId="0" borderId="0" xfId="0" applyNumberFormat="1"/>
    <xf numFmtId="166" fontId="0" fillId="0" borderId="0" xfId="0" applyNumberFormat="1"/>
    <xf numFmtId="1" fontId="0" fillId="0" borderId="0" xfId="0" applyNumberFormat="1"/>
    <xf numFmtId="0" fontId="2" fillId="2" borderId="0" xfId="0" applyFont="1" applyFill="1" applyAlignment="1">
      <alignment wrapText="1"/>
    </xf>
    <xf numFmtId="0" fontId="0" fillId="0" borderId="0" xfId="0" applyAlignment="1">
      <alignment wrapText="1"/>
    </xf>
    <xf numFmtId="0" fontId="3" fillId="0" borderId="0" xfId="0" applyFont="1" applyAlignment="1">
      <alignment wrapText="1"/>
    </xf>
    <xf numFmtId="0" fontId="1" fillId="2" borderId="0" xfId="0" applyFont="1" applyFill="1" applyAlignment="1">
      <alignment wrapText="1"/>
    </xf>
    <xf numFmtId="0" fontId="0" fillId="0" borderId="0" xfId="0" pivotButton="1"/>
    <xf numFmtId="0" fontId="5" fillId="0" borderId="0" xfId="0" applyFont="1" applyAlignment="1">
      <alignment horizontal="right"/>
    </xf>
    <xf numFmtId="0" fontId="5" fillId="0" borderId="0" xfId="0" applyFont="1" applyAlignment="1">
      <alignment horizontal="center" vertical="center"/>
    </xf>
    <xf numFmtId="0" fontId="6" fillId="0" borderId="0" xfId="0" applyFont="1" applyAlignment="1">
      <alignment horizontal="center" vertical="center"/>
    </xf>
  </cellXfs>
  <cellStyles count="1">
    <cellStyle name="Normal" xfId="0" builtinId="0"/>
  </cellStyles>
  <dxfs count="1">
    <dxf>
      <font>
        <color rgb="FF991B1B"/>
      </font>
      <fill>
        <patternFill patternType="solid">
          <bgColor rgb="FFFECAC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[Linju_Executive_Sales_Dashboard_Project.xlsx]Revenue by Region!PivotTable1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Region'!$B$3</c:f>
              <c:strCache>
                <c:ptCount val="1"/>
                <c:pt idx="0">
                  <c:v>Total</c:v>
                </c:pt>
              </c:strCache>
            </c:strRef>
          </c:tx>
          <c:spPr>
            <a:solidFill>
              <a:schemeClr val="accent1"/>
            </a:solidFill>
            <a:ln>
              <a:noFill/>
            </a:ln>
            <a:effectLst/>
          </c:spPr>
          <c:invertIfNegative val="0"/>
          <c:cat>
            <c:strRef>
              <c:f>'Revenue by Region'!$A$4:$A$5</c:f>
              <c:strCache>
                <c:ptCount val="1"/>
                <c:pt idx="0">
                  <c:v>East</c:v>
                </c:pt>
              </c:strCache>
            </c:strRef>
          </c:cat>
          <c:val>
            <c:numRef>
              <c:f>'Revenue by Region'!$B$4:$B$5</c:f>
              <c:numCache>
                <c:formatCode>\$#,##0.00</c:formatCode>
                <c:ptCount val="1"/>
                <c:pt idx="0">
                  <c:v>200948.78000000003</c:v>
                </c:pt>
              </c:numCache>
            </c:numRef>
          </c:val>
          <c:extLst>
            <c:ext xmlns:c16="http://schemas.microsoft.com/office/drawing/2014/chart" uri="{C3380CC4-5D6E-409C-BE32-E72D297353CC}">
              <c16:uniqueId val="{00000000-49EE-43B9-8C24-FCF0921E4D2D}"/>
            </c:ext>
          </c:extLst>
        </c:ser>
        <c:dLbls>
          <c:showLegendKey val="0"/>
          <c:showVal val="0"/>
          <c:showCatName val="0"/>
          <c:showSerName val="0"/>
          <c:showPercent val="0"/>
          <c:showBubbleSize val="0"/>
        </c:dLbls>
        <c:gapWidth val="219"/>
        <c:overlap val="-27"/>
        <c:axId val="671102767"/>
        <c:axId val="671096047"/>
      </c:barChart>
      <c:catAx>
        <c:axId val="67110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096047"/>
        <c:crosses val="autoZero"/>
        <c:auto val="1"/>
        <c:lblAlgn val="ctr"/>
        <c:lblOffset val="100"/>
        <c:noMultiLvlLbl val="0"/>
      </c:catAx>
      <c:valAx>
        <c:axId val="6710960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102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[Linju_Executive_Sales_Dashboard_Project.xlsx]Revenue by Category!PivotTable3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solidFill>
              <a:schemeClr val="accent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Category'!$B$3</c:f>
              <c:strCache>
                <c:ptCount val="1"/>
                <c:pt idx="0">
                  <c:v>Total</c:v>
                </c:pt>
              </c:strCache>
            </c:strRef>
          </c:tx>
          <c:spPr>
            <a:solidFill>
              <a:schemeClr val="accent3"/>
            </a:solidFill>
            <a:ln>
              <a:solidFill>
                <a:schemeClr val="accent3"/>
              </a:solidFill>
            </a:ln>
            <a:effectLst/>
          </c:spPr>
          <c:invertIfNegative val="0"/>
          <c:cat>
            <c:strRef>
              <c:f>'Revenue by Category'!$A$4:$A$7</c:f>
              <c:strCache>
                <c:ptCount val="3"/>
                <c:pt idx="0">
                  <c:v>Furniture</c:v>
                </c:pt>
                <c:pt idx="1">
                  <c:v>Office Supplies</c:v>
                </c:pt>
                <c:pt idx="2">
                  <c:v>Technology</c:v>
                </c:pt>
              </c:strCache>
            </c:strRef>
          </c:cat>
          <c:val>
            <c:numRef>
              <c:f>'Revenue by Category'!$B$4:$B$7</c:f>
              <c:numCache>
                <c:formatCode>\$#,##0.00</c:formatCode>
                <c:ptCount val="3"/>
                <c:pt idx="0">
                  <c:v>86883.099999999977</c:v>
                </c:pt>
                <c:pt idx="1">
                  <c:v>5563.3000000000011</c:v>
                </c:pt>
                <c:pt idx="2">
                  <c:v>108502.37999999998</c:v>
                </c:pt>
              </c:numCache>
            </c:numRef>
          </c:val>
          <c:extLst>
            <c:ext xmlns:c16="http://schemas.microsoft.com/office/drawing/2014/chart" uri="{C3380CC4-5D6E-409C-BE32-E72D297353CC}">
              <c16:uniqueId val="{00000000-D7B4-4F8B-903A-13618E85BA8D}"/>
            </c:ext>
          </c:extLst>
        </c:ser>
        <c:dLbls>
          <c:showLegendKey val="0"/>
          <c:showVal val="0"/>
          <c:showCatName val="0"/>
          <c:showSerName val="0"/>
          <c:showPercent val="0"/>
          <c:showBubbleSize val="0"/>
        </c:dLbls>
        <c:gapWidth val="219"/>
        <c:overlap val="-27"/>
        <c:axId val="671097487"/>
        <c:axId val="671098447"/>
      </c:barChart>
      <c:catAx>
        <c:axId val="67109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098447"/>
        <c:crosses val="autoZero"/>
        <c:auto val="1"/>
        <c:lblAlgn val="ctr"/>
        <c:lblOffset val="100"/>
        <c:noMultiLvlLbl val="0"/>
      </c:catAx>
      <c:valAx>
        <c:axId val="6710984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097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[Linju_Executive_Sales_Dashboard_Project.xlsx]Monthly Revenue!PivotTable5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Revenue'!$C$3</c:f>
              <c:strCache>
                <c:ptCount val="1"/>
                <c:pt idx="0">
                  <c:v>Total</c:v>
                </c:pt>
              </c:strCache>
            </c:strRef>
          </c:tx>
          <c:spPr>
            <a:ln w="38100" cap="rnd">
              <a:solidFill>
                <a:schemeClr val="accent1"/>
              </a:solidFill>
              <a:round/>
            </a:ln>
            <a:effectLst/>
          </c:spPr>
          <c:marker>
            <c:symbol val="none"/>
          </c:marker>
          <c:cat>
            <c:multiLvlStrRef>
              <c:f>'Monthly Revenue'!$A$4:$B$17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2025</c:v>
                  </c:pt>
                </c:lvl>
              </c:multiLvlStrCache>
            </c:multiLvlStrRef>
          </c:cat>
          <c:val>
            <c:numRef>
              <c:f>'Monthly Revenue'!$C$4:$C$17</c:f>
              <c:numCache>
                <c:formatCode>\$#,##0.00</c:formatCode>
                <c:ptCount val="12"/>
                <c:pt idx="0">
                  <c:v>10378.34</c:v>
                </c:pt>
                <c:pt idx="1">
                  <c:v>13674.779999999999</c:v>
                </c:pt>
                <c:pt idx="2">
                  <c:v>13171.47</c:v>
                </c:pt>
                <c:pt idx="3">
                  <c:v>17657.36</c:v>
                </c:pt>
                <c:pt idx="4">
                  <c:v>10953.36</c:v>
                </c:pt>
                <c:pt idx="5">
                  <c:v>29118.909999999996</c:v>
                </c:pt>
                <c:pt idx="6">
                  <c:v>32319.990000000005</c:v>
                </c:pt>
                <c:pt idx="7">
                  <c:v>11577.11</c:v>
                </c:pt>
                <c:pt idx="8">
                  <c:v>15934.89</c:v>
                </c:pt>
                <c:pt idx="9">
                  <c:v>20314.060000000001</c:v>
                </c:pt>
                <c:pt idx="10">
                  <c:v>8134.8499999999985</c:v>
                </c:pt>
                <c:pt idx="11">
                  <c:v>17713.660000000003</c:v>
                </c:pt>
              </c:numCache>
            </c:numRef>
          </c:val>
          <c:smooth val="0"/>
          <c:extLst>
            <c:ext xmlns:c16="http://schemas.microsoft.com/office/drawing/2014/chart" uri="{C3380CC4-5D6E-409C-BE32-E72D297353CC}">
              <c16:uniqueId val="{00000000-30EF-4886-9EC8-0E8B0990FEE1}"/>
            </c:ext>
          </c:extLst>
        </c:ser>
        <c:dLbls>
          <c:showLegendKey val="0"/>
          <c:showVal val="0"/>
          <c:showCatName val="0"/>
          <c:showSerName val="0"/>
          <c:showPercent val="0"/>
          <c:showBubbleSize val="0"/>
        </c:dLbls>
        <c:smooth val="0"/>
        <c:axId val="991513311"/>
        <c:axId val="668605791"/>
      </c:lineChart>
      <c:catAx>
        <c:axId val="99151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605791"/>
        <c:crosses val="autoZero"/>
        <c:auto val="1"/>
        <c:lblAlgn val="ctr"/>
        <c:lblOffset val="100"/>
        <c:noMultiLvlLbl val="0"/>
      </c:catAx>
      <c:valAx>
        <c:axId val="6686057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51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[Linju_Executive_Sales_Dashboard_Project.xlsx]Revenue by Customer Segment!PivotTable6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Customer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9847831210292616"/>
              <c:y val="2.307875562705938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7002975403484008"/>
                  <c:h val="0.15127701375245581"/>
                </c:manualLayout>
              </c15:layout>
            </c:ext>
          </c:extLst>
        </c:dLbl>
      </c:pivotFmt>
      <c:pivotFmt>
        <c:idx val="2"/>
        <c:spPr>
          <a:solidFill>
            <a:schemeClr val="accent1"/>
          </a:solidFill>
          <a:ln w="19050">
            <a:solidFill>
              <a:schemeClr val="lt1"/>
            </a:solidFill>
          </a:ln>
          <a:effectLst/>
        </c:spPr>
        <c:dLbl>
          <c:idx val="0"/>
          <c:layout>
            <c:manualLayout>
              <c:x val="0.12702622393396304"/>
              <c:y val="-0.1944990176817289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4290438471410682"/>
                  <c:h val="0.19744597249508841"/>
                </c:manualLayout>
              </c15:layout>
            </c:ext>
          </c:extLst>
        </c:dLbl>
      </c:pivotFmt>
      <c:pivotFmt>
        <c:idx val="3"/>
        <c:spPr>
          <a:solidFill>
            <a:schemeClr val="accent1"/>
          </a:solidFill>
          <a:ln w="19050">
            <a:solidFill>
              <a:schemeClr val="lt1"/>
            </a:solidFill>
          </a:ln>
          <a:effectLst/>
        </c:spPr>
        <c:dLbl>
          <c:idx val="0"/>
          <c:layout>
            <c:manualLayout>
              <c:x val="0.17201453715586931"/>
              <c:y val="0.2106254350819113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8855439649777986"/>
                  <c:h val="0.18958742632612965"/>
                </c:manualLayout>
              </c15:layout>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9847831210292616"/>
              <c:y val="2.307875562705938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7002975403484008"/>
                  <c:h val="0.15127701375245581"/>
                </c:manualLayout>
              </c15:layout>
            </c:ext>
          </c:extLst>
        </c:dLbl>
      </c:pivotFmt>
      <c:pivotFmt>
        <c:idx val="6"/>
        <c:spPr>
          <a:solidFill>
            <a:schemeClr val="accent1"/>
          </a:solidFill>
          <a:ln w="19050">
            <a:solidFill>
              <a:schemeClr val="lt1"/>
            </a:solidFill>
          </a:ln>
          <a:effectLst/>
        </c:spPr>
        <c:dLbl>
          <c:idx val="0"/>
          <c:layout>
            <c:manualLayout>
              <c:x val="0.12702622393396304"/>
              <c:y val="-0.1944990176817289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4290438471410682"/>
                  <c:h val="0.19744597249508841"/>
                </c:manualLayout>
              </c15:layout>
            </c:ext>
          </c:extLst>
        </c:dLbl>
      </c:pivotFmt>
      <c:pivotFmt>
        <c:idx val="7"/>
        <c:spPr>
          <a:solidFill>
            <a:schemeClr val="accent1"/>
          </a:solidFill>
          <a:ln w="19050">
            <a:solidFill>
              <a:schemeClr val="lt1"/>
            </a:solidFill>
          </a:ln>
          <a:effectLst/>
        </c:spPr>
        <c:dLbl>
          <c:idx val="0"/>
          <c:layout>
            <c:manualLayout>
              <c:x val="0.17201453715586931"/>
              <c:y val="0.2106254350819113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8855439649777986"/>
                  <c:h val="0.18958742632612965"/>
                </c:manualLayout>
              </c15:layout>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9847827710592553"/>
              <c:y val="6.6205450270452826E-2"/>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7002982402884137"/>
                  <c:h val="0.23753040303924269"/>
                </c:manualLayout>
              </c15:layout>
            </c:ext>
          </c:extLst>
        </c:dLbl>
      </c:pivotFmt>
      <c:pivotFmt>
        <c:idx val="10"/>
        <c:spPr>
          <a:solidFill>
            <a:schemeClr val="accent1"/>
          </a:solidFill>
          <a:ln w="19050">
            <a:solidFill>
              <a:schemeClr val="lt1"/>
            </a:solidFill>
          </a:ln>
          <a:effectLst/>
        </c:spPr>
        <c:dLbl>
          <c:idx val="0"/>
          <c:layout>
            <c:manualLayout>
              <c:x val="0.12702622393396304"/>
              <c:y val="-0.19449901768172895"/>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4290438471410682"/>
                  <c:h val="0.19744597249508841"/>
                </c:manualLayout>
              </c15:layout>
            </c:ext>
          </c:extLst>
        </c:dLbl>
      </c:pivotFmt>
      <c:pivotFmt>
        <c:idx val="11"/>
        <c:spPr>
          <a:solidFill>
            <a:schemeClr val="accent1"/>
          </a:solidFill>
          <a:ln w="19050">
            <a:solidFill>
              <a:schemeClr val="lt1"/>
            </a:solidFill>
          </a:ln>
          <a:effectLst/>
        </c:spPr>
        <c:dLbl>
          <c:idx val="0"/>
          <c:layout>
            <c:manualLayout>
              <c:x val="0.18053121244075795"/>
              <c:y val="0.21332095085956862"/>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0558774706755714"/>
                  <c:h val="0.19497845788144408"/>
                </c:manualLayout>
              </c15:layout>
            </c:ext>
          </c:extLst>
        </c:dLbl>
      </c:pivotFmt>
    </c:pivotFmts>
    <c:plotArea>
      <c:layout>
        <c:manualLayout>
          <c:layoutTarget val="inner"/>
          <c:xMode val="edge"/>
          <c:yMode val="edge"/>
          <c:x val="0.16648798409172885"/>
          <c:y val="0.18431786891078694"/>
          <c:w val="0.48574717342920304"/>
          <c:h val="0.72122488127098061"/>
        </c:manualLayout>
      </c:layout>
      <c:pieChart>
        <c:varyColors val="1"/>
        <c:ser>
          <c:idx val="0"/>
          <c:order val="0"/>
          <c:tx>
            <c:strRef>
              <c:f>'Revenue by Customer Segment'!$B$3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18-4812-BFAF-AD0E8DDF7C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18-4812-BFAF-AD0E8DDF7C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018-4812-BFAF-AD0E8DDF7C75}"/>
              </c:ext>
            </c:extLst>
          </c:dPt>
          <c:dLbls>
            <c:dLbl>
              <c:idx val="0"/>
              <c:layout>
                <c:manualLayout>
                  <c:x val="-0.19847827710592553"/>
                  <c:y val="6.6205450270452826E-2"/>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7002982402884137"/>
                      <c:h val="0.23753040303924269"/>
                    </c:manualLayout>
                  </c15:layout>
                </c:ext>
                <c:ext xmlns:c16="http://schemas.microsoft.com/office/drawing/2014/chart" uri="{C3380CC4-5D6E-409C-BE32-E72D297353CC}">
                  <c16:uniqueId val="{00000001-C018-4812-BFAF-AD0E8DDF7C75}"/>
                </c:ext>
              </c:extLst>
            </c:dLbl>
            <c:dLbl>
              <c:idx val="1"/>
              <c:layout>
                <c:manualLayout>
                  <c:x val="0.12702622393396304"/>
                  <c:y val="-0.19449901768172895"/>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4290438471410682"/>
                      <c:h val="0.19744597249508841"/>
                    </c:manualLayout>
                  </c15:layout>
                </c:ext>
                <c:ext xmlns:c16="http://schemas.microsoft.com/office/drawing/2014/chart" uri="{C3380CC4-5D6E-409C-BE32-E72D297353CC}">
                  <c16:uniqueId val="{00000003-C018-4812-BFAF-AD0E8DDF7C75}"/>
                </c:ext>
              </c:extLst>
            </c:dLbl>
            <c:dLbl>
              <c:idx val="2"/>
              <c:layout>
                <c:manualLayout>
                  <c:x val="0.18053121244075795"/>
                  <c:y val="0.21332095085956862"/>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0558774706755714"/>
                      <c:h val="0.19497845788144408"/>
                    </c:manualLayout>
                  </c15:layout>
                </c:ext>
                <c:ext xmlns:c16="http://schemas.microsoft.com/office/drawing/2014/chart" uri="{C3380CC4-5D6E-409C-BE32-E72D297353CC}">
                  <c16:uniqueId val="{00000005-C018-4812-BFAF-AD0E8DDF7C75}"/>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Customer Segment'!$A$4:$A$7</c:f>
              <c:strCache>
                <c:ptCount val="3"/>
                <c:pt idx="0">
                  <c:v>Consumer</c:v>
                </c:pt>
                <c:pt idx="1">
                  <c:v>Corporate</c:v>
                </c:pt>
                <c:pt idx="2">
                  <c:v>Small Business</c:v>
                </c:pt>
              </c:strCache>
            </c:strRef>
          </c:cat>
          <c:val>
            <c:numRef>
              <c:f>'Revenue by Customer Segment'!$B$4:$B$7</c:f>
              <c:numCache>
                <c:formatCode>\$#,##0.00</c:formatCode>
                <c:ptCount val="3"/>
                <c:pt idx="0">
                  <c:v>73473.960000000006</c:v>
                </c:pt>
                <c:pt idx="1">
                  <c:v>65248.069999999978</c:v>
                </c:pt>
                <c:pt idx="2">
                  <c:v>62226.750000000015</c:v>
                </c:pt>
              </c:numCache>
            </c:numRef>
          </c:val>
          <c:extLst>
            <c:ext xmlns:c16="http://schemas.microsoft.com/office/drawing/2014/chart" uri="{C3380CC4-5D6E-409C-BE32-E72D297353CC}">
              <c16:uniqueId val="{00000006-C018-4812-BFAF-AD0E8DDF7C7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[Linju_Executive_Sales_Dashboard_Project.xlsx]Profit by Category!PivotTable4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Category'!$B$3</c:f>
              <c:strCache>
                <c:ptCount val="1"/>
                <c:pt idx="0">
                  <c:v>Total</c:v>
                </c:pt>
              </c:strCache>
            </c:strRef>
          </c:tx>
          <c:spPr>
            <a:solidFill>
              <a:schemeClr val="accent1"/>
            </a:solidFill>
            <a:ln>
              <a:noFill/>
            </a:ln>
            <a:effectLst/>
          </c:spPr>
          <c:invertIfNegative val="0"/>
          <c:cat>
            <c:strRef>
              <c:f>'Profit by Category'!$A$4:$A$7</c:f>
              <c:strCache>
                <c:ptCount val="3"/>
                <c:pt idx="0">
                  <c:v>Furniture</c:v>
                </c:pt>
                <c:pt idx="1">
                  <c:v>Office Supplies</c:v>
                </c:pt>
                <c:pt idx="2">
                  <c:v>Technology</c:v>
                </c:pt>
              </c:strCache>
            </c:strRef>
          </c:cat>
          <c:val>
            <c:numRef>
              <c:f>'Profit by Category'!$B$4:$B$7</c:f>
              <c:numCache>
                <c:formatCode>\$#,##0.00</c:formatCode>
                <c:ptCount val="3"/>
                <c:pt idx="0">
                  <c:v>28263.349999999991</c:v>
                </c:pt>
                <c:pt idx="1">
                  <c:v>2582.4700000000007</c:v>
                </c:pt>
                <c:pt idx="2">
                  <c:v>28929.770000000004</c:v>
                </c:pt>
              </c:numCache>
            </c:numRef>
          </c:val>
          <c:extLst>
            <c:ext xmlns:c16="http://schemas.microsoft.com/office/drawing/2014/chart" uri="{C3380CC4-5D6E-409C-BE32-E72D297353CC}">
              <c16:uniqueId val="{00000000-52C9-482B-A530-D0D7C4058532}"/>
            </c:ext>
          </c:extLst>
        </c:ser>
        <c:dLbls>
          <c:showLegendKey val="0"/>
          <c:showVal val="0"/>
          <c:showCatName val="0"/>
          <c:showSerName val="0"/>
          <c:showPercent val="0"/>
          <c:showBubbleSize val="0"/>
        </c:dLbls>
        <c:gapWidth val="219"/>
        <c:overlap val="-27"/>
        <c:axId val="668610591"/>
        <c:axId val="668604351"/>
      </c:barChart>
      <c:catAx>
        <c:axId val="668610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604351"/>
        <c:crosses val="autoZero"/>
        <c:auto val="1"/>
        <c:lblAlgn val="ctr"/>
        <c:lblOffset val="100"/>
        <c:noMultiLvlLbl val="0"/>
      </c:catAx>
      <c:valAx>
        <c:axId val="6686043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610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5</xdr:col>
      <xdr:colOff>504825</xdr:colOff>
      <xdr:row>1</xdr:row>
      <xdr:rowOff>57151</xdr:rowOff>
    </xdr:from>
    <xdr:ext cx="7759701" cy="457200"/>
    <xdr:sp macro="" textlink="">
      <xdr:nvSpPr>
        <xdr:cNvPr id="2" name="TextBox 1">
          <a:extLst>
            <a:ext uri="{FF2B5EF4-FFF2-40B4-BE49-F238E27FC236}">
              <a16:creationId xmlns:a16="http://schemas.microsoft.com/office/drawing/2014/main" id="{E72E167B-FE7A-F308-E930-57966C1F6B49}"/>
            </a:ext>
          </a:extLst>
        </xdr:cNvPr>
        <xdr:cNvSpPr txBox="1"/>
      </xdr:nvSpPr>
      <xdr:spPr>
        <a:xfrm>
          <a:off x="3790950" y="238126"/>
          <a:ext cx="7759701" cy="457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2000"/>
            <a:t>Executive Sales Performance Dashboard</a:t>
          </a:r>
        </a:p>
      </xdr:txBody>
    </xdr:sp>
    <xdr:clientData/>
  </xdr:oneCellAnchor>
  <xdr:twoCellAnchor>
    <xdr:from>
      <xdr:col>2</xdr:col>
      <xdr:colOff>415925</xdr:colOff>
      <xdr:row>7</xdr:row>
      <xdr:rowOff>9525</xdr:rowOff>
    </xdr:from>
    <xdr:to>
      <xdr:col>4</xdr:col>
      <xdr:colOff>501650</xdr:colOff>
      <xdr:row>11</xdr:row>
      <xdr:rowOff>66675</xdr:rowOff>
    </xdr:to>
    <xdr:sp macro="" textlink="">
      <xdr:nvSpPr>
        <xdr:cNvPr id="4" name="Rectangle: Rounded Corners 3">
          <a:extLst>
            <a:ext uri="{FF2B5EF4-FFF2-40B4-BE49-F238E27FC236}">
              <a16:creationId xmlns:a16="http://schemas.microsoft.com/office/drawing/2014/main" id="{4639F7DC-26DC-6146-7715-063525AA22A7}"/>
            </a:ext>
          </a:extLst>
        </xdr:cNvPr>
        <xdr:cNvSpPr/>
      </xdr:nvSpPr>
      <xdr:spPr>
        <a:xfrm>
          <a:off x="1730375" y="1333500"/>
          <a:ext cx="1400175" cy="781050"/>
        </a:xfrm>
        <a:prstGeom prst="roundRect">
          <a:avLst/>
        </a:prstGeom>
        <a:solidFill>
          <a:schemeClr val="bg1"/>
        </a:solidFill>
        <a:ln>
          <a:solidFill>
            <a:schemeClr val="bg2"/>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tx1"/>
              </a:solidFill>
            </a:rPr>
            <a:t>Total Revenue</a:t>
          </a:r>
        </a:p>
        <a:p>
          <a:pPr algn="l"/>
          <a:r>
            <a:rPr lang="en-US" sz="2000" b="1">
              <a:solidFill>
                <a:schemeClr val="accent1">
                  <a:lumMod val="75000"/>
                </a:schemeClr>
              </a:solidFill>
            </a:rPr>
            <a:t>$708,791</a:t>
          </a:r>
        </a:p>
        <a:p>
          <a:pPr algn="l"/>
          <a:r>
            <a:rPr lang="en-US" sz="1100"/>
            <a:t>$708,791</a:t>
          </a:r>
          <a:r>
            <a:rPr lang="en-US"/>
            <a:t> Revenue $708,791</a:t>
          </a:r>
          <a:r>
            <a:rPr lang="en-US" sz="1100"/>
            <a:t>tal Revenue</a:t>
          </a:r>
        </a:p>
        <a:p>
          <a:pPr algn="l"/>
          <a:endParaRPr lang="en-US" sz="1100"/>
        </a:p>
        <a:p>
          <a:pPr algn="l"/>
          <a:r>
            <a:rPr lang="en-US" sz="1100"/>
            <a:t>$708,791</a:t>
          </a:r>
        </a:p>
      </xdr:txBody>
    </xdr:sp>
    <xdr:clientData/>
  </xdr:twoCellAnchor>
  <xdr:twoCellAnchor>
    <xdr:from>
      <xdr:col>5</xdr:col>
      <xdr:colOff>172508</xdr:colOff>
      <xdr:row>7</xdr:row>
      <xdr:rowOff>6350</xdr:rowOff>
    </xdr:from>
    <xdr:to>
      <xdr:col>7</xdr:col>
      <xdr:colOff>255058</xdr:colOff>
      <xdr:row>11</xdr:row>
      <xdr:rowOff>53976</xdr:rowOff>
    </xdr:to>
    <xdr:sp macro="" textlink="">
      <xdr:nvSpPr>
        <xdr:cNvPr id="5" name="Rectangle: Rounded Corners 4">
          <a:extLst>
            <a:ext uri="{FF2B5EF4-FFF2-40B4-BE49-F238E27FC236}">
              <a16:creationId xmlns:a16="http://schemas.microsoft.com/office/drawing/2014/main" id="{25492207-DD70-42AA-AC19-B56AA68D923F}"/>
            </a:ext>
          </a:extLst>
        </xdr:cNvPr>
        <xdr:cNvSpPr/>
      </xdr:nvSpPr>
      <xdr:spPr>
        <a:xfrm>
          <a:off x="3458633" y="1330325"/>
          <a:ext cx="1397000" cy="771526"/>
        </a:xfrm>
        <a:prstGeom prst="roundRect">
          <a:avLst/>
        </a:prstGeom>
        <a:solidFill>
          <a:schemeClr val="bg1"/>
        </a:solidFill>
        <a:ln>
          <a:solidFill>
            <a:schemeClr val="bg2"/>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tx1"/>
              </a:solidFill>
            </a:rPr>
            <a:t>Total Profit</a:t>
          </a:r>
        </a:p>
        <a:p>
          <a:pPr algn="l"/>
          <a:r>
            <a:rPr lang="en-US" sz="2000" b="1">
              <a:solidFill>
                <a:schemeClr val="accent1">
                  <a:lumMod val="75000"/>
                </a:schemeClr>
              </a:solidFill>
            </a:rPr>
            <a:t>$212,684</a:t>
          </a:r>
        </a:p>
      </xdr:txBody>
    </xdr:sp>
    <xdr:clientData/>
  </xdr:twoCellAnchor>
  <xdr:twoCellAnchor>
    <xdr:from>
      <xdr:col>7</xdr:col>
      <xdr:colOff>579966</xdr:colOff>
      <xdr:row>7</xdr:row>
      <xdr:rowOff>19050</xdr:rowOff>
    </xdr:from>
    <xdr:to>
      <xdr:col>9</xdr:col>
      <xdr:colOff>656166</xdr:colOff>
      <xdr:row>11</xdr:row>
      <xdr:rowOff>57150</xdr:rowOff>
    </xdr:to>
    <xdr:sp macro="" textlink="">
      <xdr:nvSpPr>
        <xdr:cNvPr id="6" name="Rectangle: Rounded Corners 5">
          <a:extLst>
            <a:ext uri="{FF2B5EF4-FFF2-40B4-BE49-F238E27FC236}">
              <a16:creationId xmlns:a16="http://schemas.microsoft.com/office/drawing/2014/main" id="{F69E2B0C-991D-46A6-90D2-BA6886B393C7}"/>
            </a:ext>
          </a:extLst>
        </xdr:cNvPr>
        <xdr:cNvSpPr/>
      </xdr:nvSpPr>
      <xdr:spPr>
        <a:xfrm>
          <a:off x="5180541" y="1343025"/>
          <a:ext cx="1390650" cy="762000"/>
        </a:xfrm>
        <a:prstGeom prst="roundRect">
          <a:avLst/>
        </a:prstGeom>
        <a:solidFill>
          <a:schemeClr val="bg1"/>
        </a:solidFill>
        <a:ln>
          <a:solidFill>
            <a:schemeClr val="bg2"/>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tx1"/>
              </a:solidFill>
            </a:rPr>
            <a:t>Total Quantity</a:t>
          </a:r>
          <a:br>
            <a:rPr lang="en-US" sz="1200">
              <a:solidFill>
                <a:schemeClr val="tx1"/>
              </a:solidFill>
            </a:rPr>
          </a:br>
          <a:r>
            <a:rPr lang="en-US" sz="2000" b="1">
              <a:solidFill>
                <a:schemeClr val="accent1">
                  <a:lumMod val="75000"/>
                </a:schemeClr>
              </a:solidFill>
            </a:rPr>
            <a:t>2652</a:t>
          </a:r>
        </a:p>
      </xdr:txBody>
    </xdr:sp>
    <xdr:clientData/>
  </xdr:twoCellAnchor>
  <xdr:twoCellAnchor>
    <xdr:from>
      <xdr:col>10</xdr:col>
      <xdr:colOff>323850</xdr:colOff>
      <xdr:row>7</xdr:row>
      <xdr:rowOff>0</xdr:rowOff>
    </xdr:from>
    <xdr:to>
      <xdr:col>12</xdr:col>
      <xdr:colOff>406400</xdr:colOff>
      <xdr:row>11</xdr:row>
      <xdr:rowOff>63500</xdr:rowOff>
    </xdr:to>
    <xdr:sp macro="" textlink="">
      <xdr:nvSpPr>
        <xdr:cNvPr id="8" name="Rectangle: Rounded Corners 7">
          <a:extLst>
            <a:ext uri="{FF2B5EF4-FFF2-40B4-BE49-F238E27FC236}">
              <a16:creationId xmlns:a16="http://schemas.microsoft.com/office/drawing/2014/main" id="{8DE84FCB-DC24-4179-BA03-8909D3A6310C}"/>
            </a:ext>
          </a:extLst>
        </xdr:cNvPr>
        <xdr:cNvSpPr/>
      </xdr:nvSpPr>
      <xdr:spPr>
        <a:xfrm>
          <a:off x="6896100" y="1323975"/>
          <a:ext cx="1397000" cy="787400"/>
        </a:xfrm>
        <a:prstGeom prst="roundRect">
          <a:avLst/>
        </a:prstGeom>
        <a:solidFill>
          <a:schemeClr val="bg1"/>
        </a:solidFill>
        <a:ln>
          <a:solidFill>
            <a:schemeClr val="bg2"/>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tx1"/>
              </a:solidFill>
            </a:rPr>
            <a:t>Profit Margin</a:t>
          </a:r>
        </a:p>
        <a:p>
          <a:pPr algn="l"/>
          <a:r>
            <a:rPr lang="en-US" sz="2000" b="1">
              <a:solidFill>
                <a:schemeClr val="accent1">
                  <a:lumMod val="75000"/>
                </a:schemeClr>
              </a:solidFill>
            </a:rPr>
            <a:t>30.0%</a:t>
          </a:r>
        </a:p>
      </xdr:txBody>
    </xdr:sp>
    <xdr:clientData/>
  </xdr:twoCellAnchor>
  <xdr:twoCellAnchor>
    <xdr:from>
      <xdr:col>2</xdr:col>
      <xdr:colOff>520699</xdr:colOff>
      <xdr:row>13</xdr:row>
      <xdr:rowOff>69849</xdr:rowOff>
    </xdr:from>
    <xdr:to>
      <xdr:col>9</xdr:col>
      <xdr:colOff>304799</xdr:colOff>
      <xdr:row>26</xdr:row>
      <xdr:rowOff>38100</xdr:rowOff>
    </xdr:to>
    <xdr:graphicFrame macro="">
      <xdr:nvGraphicFramePr>
        <xdr:cNvPr id="9" name="Chart 8">
          <a:extLst>
            <a:ext uri="{FF2B5EF4-FFF2-40B4-BE49-F238E27FC236}">
              <a16:creationId xmlns:a16="http://schemas.microsoft.com/office/drawing/2014/main" id="{771A8D84-ABD4-4ECC-B544-1569E6CF57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257175</xdr:colOff>
      <xdr:row>13</xdr:row>
      <xdr:rowOff>158750</xdr:rowOff>
    </xdr:from>
    <xdr:to>
      <xdr:col>18</xdr:col>
      <xdr:colOff>635000</xdr:colOff>
      <xdr:row>26</xdr:row>
      <xdr:rowOff>142875</xdr:rowOff>
    </xdr:to>
    <xdr:graphicFrame macro="">
      <xdr:nvGraphicFramePr>
        <xdr:cNvPr id="10" name="Chart 9">
          <a:extLst>
            <a:ext uri="{FF2B5EF4-FFF2-40B4-BE49-F238E27FC236}">
              <a16:creationId xmlns:a16="http://schemas.microsoft.com/office/drawing/2014/main" id="{DFFFA772-B341-4A3B-AC50-A5D3926171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619125</xdr:colOff>
      <xdr:row>28</xdr:row>
      <xdr:rowOff>114300</xdr:rowOff>
    </xdr:from>
    <xdr:to>
      <xdr:col>9</xdr:col>
      <xdr:colOff>409575</xdr:colOff>
      <xdr:row>41</xdr:row>
      <xdr:rowOff>101600</xdr:rowOff>
    </xdr:to>
    <xdr:graphicFrame macro="">
      <xdr:nvGraphicFramePr>
        <xdr:cNvPr id="11" name="Chart 10">
          <a:extLst>
            <a:ext uri="{FF2B5EF4-FFF2-40B4-BE49-F238E27FC236}">
              <a16:creationId xmlns:a16="http://schemas.microsoft.com/office/drawing/2014/main" id="{69C80CDA-CDE5-4A16-9559-4C9E63360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38101</xdr:colOff>
      <xdr:row>29</xdr:row>
      <xdr:rowOff>28575</xdr:rowOff>
    </xdr:from>
    <xdr:to>
      <xdr:col>18</xdr:col>
      <xdr:colOff>568325</xdr:colOff>
      <xdr:row>42</xdr:row>
      <xdr:rowOff>25400</xdr:rowOff>
    </xdr:to>
    <xdr:graphicFrame macro="">
      <xdr:nvGraphicFramePr>
        <xdr:cNvPr id="12" name="Chart 11">
          <a:extLst>
            <a:ext uri="{FF2B5EF4-FFF2-40B4-BE49-F238E27FC236}">
              <a16:creationId xmlns:a16="http://schemas.microsoft.com/office/drawing/2014/main" id="{5FA454CF-A1C4-496C-B97D-D9B6F909AA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273050</xdr:colOff>
      <xdr:row>2</xdr:row>
      <xdr:rowOff>63500</xdr:rowOff>
    </xdr:from>
    <xdr:to>
      <xdr:col>22</xdr:col>
      <xdr:colOff>139700</xdr:colOff>
      <xdr:row>10</xdr:row>
      <xdr:rowOff>171450</xdr:rowOff>
    </xdr:to>
    <mc:AlternateContent xmlns:mc="http://schemas.openxmlformats.org/markup-compatibility/2006">
      <mc:Choice xmlns:a14="http://schemas.microsoft.com/office/drawing/2010/main" Requires="a14">
        <xdr:graphicFrame macro="">
          <xdr:nvGraphicFramePr>
            <xdr:cNvPr id="13" name="Region">
              <a:extLst>
                <a:ext uri="{FF2B5EF4-FFF2-40B4-BE49-F238E27FC236}">
                  <a16:creationId xmlns:a16="http://schemas.microsoft.com/office/drawing/2014/main" id="{932FECFF-D2EC-4BAB-8822-162CA844AF4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763500" y="428625"/>
              <a:ext cx="1838325" cy="1609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590550</xdr:colOff>
      <xdr:row>2</xdr:row>
      <xdr:rowOff>63501</xdr:rowOff>
    </xdr:from>
    <xdr:to>
      <xdr:col>25</xdr:col>
      <xdr:colOff>447675</xdr:colOff>
      <xdr:row>10</xdr:row>
      <xdr:rowOff>161169</xdr:rowOff>
    </xdr:to>
    <mc:AlternateContent xmlns:mc="http://schemas.openxmlformats.org/markup-compatibility/2006">
      <mc:Choice xmlns:a14="http://schemas.microsoft.com/office/drawing/2010/main" Requires="a14">
        <xdr:graphicFrame macro="">
          <xdr:nvGraphicFramePr>
            <xdr:cNvPr id="14" name="Customer Segment">
              <a:extLst>
                <a:ext uri="{FF2B5EF4-FFF2-40B4-BE49-F238E27FC236}">
                  <a16:creationId xmlns:a16="http://schemas.microsoft.com/office/drawing/2014/main" id="{DFF3CCAD-D015-4460-B84A-0CB89E53A1B7}"/>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15049500" y="428626"/>
              <a:ext cx="1825625" cy="16026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358775</xdr:colOff>
      <xdr:row>17</xdr:row>
      <xdr:rowOff>66675</xdr:rowOff>
    </xdr:from>
    <xdr:to>
      <xdr:col>22</xdr:col>
      <xdr:colOff>219075</xdr:colOff>
      <xdr:row>26</xdr:row>
      <xdr:rowOff>38352</xdr:rowOff>
    </xdr:to>
    <mc:AlternateContent xmlns:mc="http://schemas.openxmlformats.org/markup-compatibility/2006">
      <mc:Choice xmlns:a14="http://schemas.microsoft.com/office/drawing/2010/main" Requires="a14">
        <xdr:graphicFrame macro="">
          <xdr:nvGraphicFramePr>
            <xdr:cNvPr id="15" name="Category">
              <a:extLst>
                <a:ext uri="{FF2B5EF4-FFF2-40B4-BE49-F238E27FC236}">
                  <a16:creationId xmlns:a16="http://schemas.microsoft.com/office/drawing/2014/main" id="{07C65AA1-DC15-4010-B512-95487E1E2AF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846050" y="3197225"/>
              <a:ext cx="1828800" cy="16036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619125</xdr:colOff>
      <xdr:row>17</xdr:row>
      <xdr:rowOff>47625</xdr:rowOff>
    </xdr:from>
    <xdr:to>
      <xdr:col>25</xdr:col>
      <xdr:colOff>482600</xdr:colOff>
      <xdr:row>26</xdr:row>
      <xdr:rowOff>28575</xdr:rowOff>
    </xdr:to>
    <mc:AlternateContent xmlns:mc="http://schemas.openxmlformats.org/markup-compatibility/2006">
      <mc:Choice xmlns:a14="http://schemas.microsoft.com/office/drawing/2010/main" Requires="a14">
        <xdr:graphicFrame macro="">
          <xdr:nvGraphicFramePr>
            <xdr:cNvPr id="16" name="Sales Channel">
              <a:extLst>
                <a:ext uri="{FF2B5EF4-FFF2-40B4-BE49-F238E27FC236}">
                  <a16:creationId xmlns:a16="http://schemas.microsoft.com/office/drawing/2014/main" id="{B963A240-09E6-4067-B287-C1150EB9B690}"/>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dr:sp macro="" textlink="">
          <xdr:nvSpPr>
            <xdr:cNvPr id="0" name=""/>
            <xdr:cNvSpPr>
              <a:spLocks noTextEdit="1"/>
            </xdr:cNvSpPr>
          </xdr:nvSpPr>
          <xdr:spPr>
            <a:xfrm>
              <a:off x="15074900" y="3178175"/>
              <a:ext cx="1841500" cy="1609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592137</xdr:colOff>
      <xdr:row>7</xdr:row>
      <xdr:rowOff>111125</xdr:rowOff>
    </xdr:from>
    <xdr:to>
      <xdr:col>11</xdr:col>
      <xdr:colOff>569912</xdr:colOff>
      <xdr:row>22</xdr:row>
      <xdr:rowOff>139700</xdr:rowOff>
    </xdr:to>
    <xdr:graphicFrame macro="">
      <xdr:nvGraphicFramePr>
        <xdr:cNvPr id="2" name="Chart 1">
          <a:extLst>
            <a:ext uri="{FF2B5EF4-FFF2-40B4-BE49-F238E27FC236}">
              <a16:creationId xmlns:a16="http://schemas.microsoft.com/office/drawing/2014/main" id="{81280C07-0459-A0F2-764B-709A8578F9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ju Aji" refreshedDate="46226.685343750003" createdVersion="8" refreshedVersion="8" minRefreshableVersion="3" recordCount="600" xr:uid="{BA24243E-9B6F-4E8A-9B41-9A399160C7BA}">
  <cacheSource type="worksheet">
    <worksheetSource name="SalesDataTable"/>
  </cacheSource>
  <cacheFields count="18">
    <cacheField name="Order ID" numFmtId="0">
      <sharedItems/>
    </cacheField>
    <cacheField name="Order Date" numFmtId="164">
      <sharedItems containsSemiMixedTypes="0" containsNonDate="0" containsDate="1" containsString="0" minDate="2025-01-02T00:00:00" maxDate="2026-01-01T00:00:00" count="298">
        <d v="2025-11-24T00:00:00"/>
        <d v="2025-02-14T00:00:00"/>
        <d v="2025-12-26T00:00:00"/>
        <d v="2025-03-21T00:00:00"/>
        <d v="2025-08-24T00:00:00"/>
        <d v="2025-04-27T00:00:00"/>
        <d v="2025-03-25T00:00:00"/>
        <d v="2025-08-25T00:00:00"/>
        <d v="2025-01-29T00:00:00"/>
        <d v="2025-06-11T00:00:00"/>
        <d v="2025-10-15T00:00:00"/>
        <d v="2025-01-25T00:00:00"/>
        <d v="2025-08-28T00:00:00"/>
        <d v="2025-05-31T00:00:00"/>
        <d v="2025-11-17T00:00:00"/>
        <d v="2025-02-27T00:00:00"/>
        <d v="2025-09-30T00:00:00"/>
        <d v="2025-04-19T00:00:00"/>
        <d v="2025-05-07T00:00:00"/>
        <d v="2025-01-31T00:00:00"/>
        <d v="2025-10-04T00:00:00"/>
        <d v="2025-07-01T00:00:00"/>
        <d v="2025-02-25T00:00:00"/>
        <d v="2025-02-08T00:00:00"/>
        <d v="2025-03-27T00:00:00"/>
        <d v="2025-05-16T00:00:00"/>
        <d v="2025-01-30T00:00:00"/>
        <d v="2025-04-06T00:00:00"/>
        <d v="2025-02-11T00:00:00"/>
        <d v="2025-11-27T00:00:00"/>
        <d v="2025-02-21T00:00:00"/>
        <d v="2025-03-22T00:00:00"/>
        <d v="2025-12-06T00:00:00"/>
        <d v="2025-06-25T00:00:00"/>
        <d v="2025-01-23T00:00:00"/>
        <d v="2025-08-07T00:00:00"/>
        <d v="2025-03-17T00:00:00"/>
        <d v="2025-02-22T00:00:00"/>
        <d v="2025-07-31T00:00:00"/>
        <d v="2025-11-25T00:00:00"/>
        <d v="2025-01-20T00:00:00"/>
        <d v="2025-05-11T00:00:00"/>
        <d v="2025-12-07T00:00:00"/>
        <d v="2025-12-23T00:00:00"/>
        <d v="2025-10-08T00:00:00"/>
        <d v="2025-09-19T00:00:00"/>
        <d v="2025-12-11T00:00:00"/>
        <d v="2025-02-07T00:00:00"/>
        <d v="2025-12-19T00:00:00"/>
        <d v="2025-03-04T00:00:00"/>
        <d v="2025-11-10T00:00:00"/>
        <d v="2025-11-23T00:00:00"/>
        <d v="2025-10-05T00:00:00"/>
        <d v="2025-07-14T00:00:00"/>
        <d v="2025-11-05T00:00:00"/>
        <d v="2025-07-27T00:00:00"/>
        <d v="2025-01-10T00:00:00"/>
        <d v="2025-01-11T00:00:00"/>
        <d v="2025-07-12T00:00:00"/>
        <d v="2025-12-17T00:00:00"/>
        <d v="2025-08-04T00:00:00"/>
        <d v="2025-11-30T00:00:00"/>
        <d v="2025-04-04T00:00:00"/>
        <d v="2025-04-08T00:00:00"/>
        <d v="2025-01-09T00:00:00"/>
        <d v="2025-08-06T00:00:00"/>
        <d v="2025-03-03T00:00:00"/>
        <d v="2025-06-01T00:00:00"/>
        <d v="2025-10-11T00:00:00"/>
        <d v="2025-08-14T00:00:00"/>
        <d v="2025-08-02T00:00:00"/>
        <d v="2025-02-20T00:00:00"/>
        <d v="2025-07-29T00:00:00"/>
        <d v="2025-03-26T00:00:00"/>
        <d v="2025-09-10T00:00:00"/>
        <d v="2025-12-12T00:00:00"/>
        <d v="2025-05-23T00:00:00"/>
        <d v="2025-12-10T00:00:00"/>
        <d v="2025-08-21T00:00:00"/>
        <d v="2025-10-09T00:00:00"/>
        <d v="2025-05-03T00:00:00"/>
        <d v="2025-08-30T00:00:00"/>
        <d v="2025-08-01T00:00:00"/>
        <d v="2025-09-05T00:00:00"/>
        <d v="2025-07-17T00:00:00"/>
        <d v="2025-09-27T00:00:00"/>
        <d v="2025-06-23T00:00:00"/>
        <d v="2025-09-07T00:00:00"/>
        <d v="2025-07-03T00:00:00"/>
        <d v="2025-07-15T00:00:00"/>
        <d v="2025-08-27T00:00:00"/>
        <d v="2025-06-04T00:00:00"/>
        <d v="2025-04-28T00:00:00"/>
        <d v="2025-06-08T00:00:00"/>
        <d v="2025-04-13T00:00:00"/>
        <d v="2025-07-07T00:00:00"/>
        <d v="2025-10-27T00:00:00"/>
        <d v="2025-02-02T00:00:00"/>
        <d v="2025-02-19T00:00:00"/>
        <d v="2025-08-16T00:00:00"/>
        <d v="2025-03-06T00:00:00"/>
        <d v="2025-11-02T00:00:00"/>
        <d v="2025-01-14T00:00:00"/>
        <d v="2025-11-11T00:00:00"/>
        <d v="2025-12-02T00:00:00"/>
        <d v="2025-06-10T00:00:00"/>
        <d v="2025-02-17T00:00:00"/>
        <d v="2025-06-18T00:00:00"/>
        <d v="2025-06-30T00:00:00"/>
        <d v="2025-12-22T00:00:00"/>
        <d v="2025-03-15T00:00:00"/>
        <d v="2025-08-03T00:00:00"/>
        <d v="2025-11-13T00:00:00"/>
        <d v="2025-09-20T00:00:00"/>
        <d v="2025-11-03T00:00:00"/>
        <d v="2025-09-12T00:00:00"/>
        <d v="2025-01-22T00:00:00"/>
        <d v="2025-02-15T00:00:00"/>
        <d v="2025-04-01T00:00:00"/>
        <d v="2025-03-19T00:00:00"/>
        <d v="2025-02-01T00:00:00"/>
        <d v="2025-08-13T00:00:00"/>
        <d v="2025-11-20T00:00:00"/>
        <d v="2025-07-20T00:00:00"/>
        <d v="2025-09-06T00:00:00"/>
        <d v="2025-11-16T00:00:00"/>
        <d v="2025-08-18T00:00:00"/>
        <d v="2025-03-12T00:00:00"/>
        <d v="2025-03-05T00:00:00"/>
        <d v="2025-04-24T00:00:00"/>
        <d v="2025-07-11T00:00:00"/>
        <d v="2025-11-15T00:00:00"/>
        <d v="2025-07-04T00:00:00"/>
        <d v="2025-02-04T00:00:00"/>
        <d v="2025-11-26T00:00:00"/>
        <d v="2025-08-23T00:00:00"/>
        <d v="2025-10-06T00:00:00"/>
        <d v="2025-11-06T00:00:00"/>
        <d v="2025-11-29T00:00:00"/>
        <d v="2025-03-02T00:00:00"/>
        <d v="2025-03-08T00:00:00"/>
        <d v="2025-10-10T00:00:00"/>
        <d v="2025-03-24T00:00:00"/>
        <d v="2025-03-29T00:00:00"/>
        <d v="2025-11-07T00:00:00"/>
        <d v="2025-07-16T00:00:00"/>
        <d v="2025-09-21T00:00:00"/>
        <d v="2025-04-21T00:00:00"/>
        <d v="2025-08-09T00:00:00"/>
        <d v="2025-04-10T00:00:00"/>
        <d v="2025-11-09T00:00:00"/>
        <d v="2025-09-18T00:00:00"/>
        <d v="2025-11-19T00:00:00"/>
        <d v="2025-06-02T00:00:00"/>
        <d v="2025-05-21T00:00:00"/>
        <d v="2025-05-29T00:00:00"/>
        <d v="2025-10-03T00:00:00"/>
        <d v="2025-04-26T00:00:00"/>
        <d v="2025-05-28T00:00:00"/>
        <d v="2025-09-26T00:00:00"/>
        <d v="2025-11-28T00:00:00"/>
        <d v="2025-01-04T00:00:00"/>
        <d v="2025-05-14T00:00:00"/>
        <d v="2025-12-27T00:00:00"/>
        <d v="2025-03-20T00:00:00"/>
        <d v="2025-04-14T00:00:00"/>
        <d v="2025-06-07T00:00:00"/>
        <d v="2025-01-02T00:00:00"/>
        <d v="2025-06-27T00:00:00"/>
        <d v="2025-10-22T00:00:00"/>
        <d v="2025-10-13T00:00:00"/>
        <d v="2025-12-29T00:00:00"/>
        <d v="2025-06-19T00:00:00"/>
        <d v="2025-06-20T00:00:00"/>
        <d v="2025-04-15T00:00:00"/>
        <d v="2025-03-28T00:00:00"/>
        <d v="2025-12-09T00:00:00"/>
        <d v="2025-09-16T00:00:00"/>
        <d v="2025-07-30T00:00:00"/>
        <d v="2025-10-18T00:00:00"/>
        <d v="2025-02-12T00:00:00"/>
        <d v="2025-01-03T00:00:00"/>
        <d v="2025-10-12T00:00:00"/>
        <d v="2025-05-18T00:00:00"/>
        <d v="2025-02-09T00:00:00"/>
        <d v="2025-06-13T00:00:00"/>
        <d v="2025-07-06T00:00:00"/>
        <d v="2025-06-05T00:00:00"/>
        <d v="2025-10-26T00:00:00"/>
        <d v="2025-01-06T00:00:00"/>
        <d v="2025-12-14T00:00:00"/>
        <d v="2025-03-14T00:00:00"/>
        <d v="2025-12-13T00:00:00"/>
        <d v="2025-10-28T00:00:00"/>
        <d v="2025-03-13T00:00:00"/>
        <d v="2025-04-23T00:00:00"/>
        <d v="2025-09-11T00:00:00"/>
        <d v="2025-04-22T00:00:00"/>
        <d v="2025-05-15T00:00:00"/>
        <d v="2025-06-29T00:00:00"/>
        <d v="2025-08-22T00:00:00"/>
        <d v="2025-12-25T00:00:00"/>
        <d v="2025-03-10T00:00:00"/>
        <d v="2025-11-08T00:00:00"/>
        <d v="2025-10-02T00:00:00"/>
        <d v="2025-11-21T00:00:00"/>
        <d v="2025-03-01T00:00:00"/>
        <d v="2025-11-18T00:00:00"/>
        <d v="2025-03-18T00:00:00"/>
        <d v="2025-01-24T00:00:00"/>
        <d v="2025-07-08T00:00:00"/>
        <d v="2025-04-11T00:00:00"/>
        <d v="2025-01-05T00:00:00"/>
        <d v="2025-09-24T00:00:00"/>
        <d v="2025-10-31T00:00:00"/>
        <d v="2025-07-21T00:00:00"/>
        <d v="2025-01-16T00:00:00"/>
        <d v="2025-03-07T00:00:00"/>
        <d v="2025-07-22T00:00:00"/>
        <d v="2025-08-17T00:00:00"/>
        <d v="2025-04-30T00:00:00"/>
        <d v="2025-12-24T00:00:00"/>
        <d v="2025-03-31T00:00:00"/>
        <d v="2025-05-08T00:00:00"/>
        <d v="2025-10-23T00:00:00"/>
        <d v="2025-02-23T00:00:00"/>
        <d v="2025-09-09T00:00:00"/>
        <d v="2025-02-16T00:00:00"/>
        <d v="2025-06-03T00:00:00"/>
        <d v="2025-03-30T00:00:00"/>
        <d v="2025-06-16T00:00:00"/>
        <d v="2025-06-09T00:00:00"/>
        <d v="2025-06-14T00:00:00"/>
        <d v="2025-10-19T00:00:00"/>
        <d v="2025-09-08T00:00:00"/>
        <d v="2025-05-13T00:00:00"/>
        <d v="2025-11-04T00:00:00"/>
        <d v="2025-06-28T00:00:00"/>
        <d v="2025-05-22T00:00:00"/>
        <d v="2025-07-18T00:00:00"/>
        <d v="2025-09-17T00:00:00"/>
        <d v="2025-07-10T00:00:00"/>
        <d v="2025-04-07T00:00:00"/>
        <d v="2025-11-01T00:00:00"/>
        <d v="2025-05-10T00:00:00"/>
        <d v="2025-01-21T00:00:00"/>
        <d v="2025-02-26T00:00:00"/>
        <d v="2025-02-28T00:00:00"/>
        <d v="2025-05-01T00:00:00"/>
        <d v="2025-04-02T00:00:00"/>
        <d v="2025-01-07T00:00:00"/>
        <d v="2025-05-27T00:00:00"/>
        <d v="2025-08-20T00:00:00"/>
        <d v="2025-11-14T00:00:00"/>
        <d v="2025-08-10T00:00:00"/>
        <d v="2025-06-26T00:00:00"/>
        <d v="2025-06-06T00:00:00"/>
        <d v="2025-12-31T00:00:00"/>
        <d v="2025-01-19T00:00:00"/>
        <d v="2025-09-22T00:00:00"/>
        <d v="2025-10-21T00:00:00"/>
        <d v="2025-02-05T00:00:00"/>
        <d v="2025-04-16T00:00:00"/>
        <d v="2025-07-24T00:00:00"/>
        <d v="2025-10-14T00:00:00"/>
        <d v="2025-09-15T00:00:00"/>
        <d v="2025-08-31T00:00:00"/>
        <d v="2025-08-19T00:00:00"/>
        <d v="2025-02-10T00:00:00"/>
        <d v="2025-01-12T00:00:00"/>
        <d v="2025-01-15T00:00:00"/>
        <d v="2025-05-20T00:00:00"/>
        <d v="2025-10-16T00:00:00"/>
        <d v="2025-03-11T00:00:00"/>
        <d v="2025-01-26T00:00:00"/>
        <d v="2025-05-09T00:00:00"/>
        <d v="2025-01-18T00:00:00"/>
        <d v="2025-06-15T00:00:00"/>
        <d v="2025-04-09T00:00:00"/>
        <d v="2025-02-24T00:00:00"/>
        <d v="2025-05-12T00:00:00"/>
        <d v="2025-11-12T00:00:00"/>
        <d v="2025-04-29T00:00:00"/>
        <d v="2025-06-21T00:00:00"/>
        <d v="2025-01-28T00:00:00"/>
        <d v="2025-10-20T00:00:00"/>
        <d v="2025-04-12T00:00:00"/>
        <d v="2025-04-18T00:00:00"/>
        <d v="2025-12-04T00:00:00"/>
        <d v="2025-12-30T00:00:00"/>
        <d v="2025-12-01T00:00:00"/>
        <d v="2025-03-16T00:00:00"/>
        <d v="2025-04-05T00:00:00"/>
        <d v="2025-04-17T00:00:00"/>
        <d v="2025-12-05T00:00:00"/>
        <d v="2025-12-28T00:00:00"/>
        <d v="2025-01-13T00:00:00"/>
        <d v="2025-12-18T00:00:00"/>
      </sharedItems>
      <fieldGroup par="17"/>
    </cacheField>
    <cacheField name="Region" numFmtId="0">
      <sharedItems count="4">
        <s v="South"/>
        <s v="Central"/>
        <s v="West"/>
        <s v="East"/>
      </sharedItems>
    </cacheField>
    <cacheField name="City" numFmtId="0">
      <sharedItems/>
    </cacheField>
    <cacheField name="Customer Segment" numFmtId="0">
      <sharedItems count="3">
        <s v="Corporate"/>
        <s v="Consumer"/>
        <s v="Small Business"/>
      </sharedItems>
    </cacheField>
    <cacheField name="Sales Channel" numFmtId="0">
      <sharedItems count="3">
        <s v="Online"/>
        <s v="Sales Representative"/>
        <s v="Retail Store"/>
      </sharedItems>
    </cacheField>
    <cacheField name="Category" numFmtId="0">
      <sharedItems count="3">
        <s v="Office Supplies"/>
        <s v="Furniture"/>
        <s v="Technology"/>
      </sharedItems>
    </cacheField>
    <cacheField name="Product" numFmtId="0">
      <sharedItems/>
    </cacheField>
    <cacheField name="Quantity" numFmtId="1">
      <sharedItems containsSemiMixedTypes="0" containsString="0" containsNumber="1" containsInteger="1" minValue="1" maxValue="8"/>
    </cacheField>
    <cacheField name="Unit Price" numFmtId="165">
      <sharedItems containsSemiMixedTypes="0" containsString="0" containsNumber="1" minValue="10.84" maxValue="1059.6600000000001"/>
    </cacheField>
    <cacheField name="Revenue" numFmtId="165">
      <sharedItems containsSemiMixedTypes="0" containsString="0" containsNumber="1" minValue="11.6" maxValue="8394.48"/>
    </cacheField>
    <cacheField name="Unit Cost" numFmtId="165">
      <sharedItems containsSemiMixedTypes="0" containsString="0" containsNumber="1" minValue="5.78" maxValue="761.17"/>
    </cacheField>
    <cacheField name="Total Cost" numFmtId="165">
      <sharedItems containsSemiMixedTypes="0" containsString="0" containsNumber="1" minValue="5.79" maxValue="6089.36"/>
    </cacheField>
    <cacheField name="Profit" numFmtId="165">
      <sharedItems containsSemiMixedTypes="0" containsString="0" containsNumber="1" minValue="5.54" maxValue="2533.7600000000002"/>
    </cacheField>
    <cacheField name="Profit Margin" numFmtId="166">
      <sharedItems containsSemiMixedTypes="0" containsString="0" containsNumber="1" minValue="0.12620002079458414" maxValue="0.55849056603773584"/>
    </cacheField>
    <cacheField name="Monthly Target" numFmtId="165">
      <sharedItems containsSemiMixedTypes="0" containsString="0" containsNumber="1" containsInteger="1" minValue="135000" maxValue="165000"/>
    </cacheField>
    <cacheField name="Months (Order Date)" numFmtId="0" databaseField="0">
      <fieldGroup base="1">
        <rangePr groupBy="months" startDate="2025-01-02T00:00:00" endDate="2026-01-01T00:00:00"/>
        <groupItems count="14">
          <s v="&lt;1/2/2025"/>
          <s v="Jan"/>
          <s v="Feb"/>
          <s v="Mar"/>
          <s v="Apr"/>
          <s v="May"/>
          <s v="Jun"/>
          <s v="Jul"/>
          <s v="Aug"/>
          <s v="Sep"/>
          <s v="Oct"/>
          <s v="Nov"/>
          <s v="Dec"/>
          <s v="&gt;1/1/2026"/>
        </groupItems>
      </fieldGroup>
    </cacheField>
    <cacheField name="Years (Order Date)" numFmtId="0" databaseField="0">
      <fieldGroup base="1">
        <rangePr groupBy="years" startDate="2025-01-02T00:00:00" endDate="2026-01-01T00:00:00"/>
        <groupItems count="4">
          <s v="&lt;1/2/2025"/>
          <s v="2025"/>
          <s v="2026"/>
          <s v="&gt;1/1/2026"/>
        </groupItems>
      </fieldGroup>
    </cacheField>
  </cacheFields>
  <extLst>
    <ext xmlns:x14="http://schemas.microsoft.com/office/spreadsheetml/2009/9/main" uri="{725AE2AE-9491-48be-B2B4-4EB974FC3084}">
      <x14:pivotCacheDefinition pivotCacheId="5846855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s v="ORD-0001"/>
    <x v="0"/>
    <x v="0"/>
    <s v="Houston"/>
    <x v="0"/>
    <x v="0"/>
    <x v="0"/>
    <s v="Desk Organizer"/>
    <n v="2"/>
    <n v="29.37"/>
    <n v="58.74"/>
    <n v="15.74"/>
    <n v="31.48"/>
    <n v="27.26"/>
    <n v="0.46407899216887982"/>
    <n v="140000"/>
  </r>
  <r>
    <s v="ORD-0002"/>
    <x v="1"/>
    <x v="1"/>
    <s v="Chicago"/>
    <x v="1"/>
    <x v="0"/>
    <x v="1"/>
    <s v="Bookshelf"/>
    <n v="1"/>
    <n v="184.23"/>
    <n v="184.23"/>
    <n v="118.63"/>
    <n v="118.63"/>
    <n v="65.599999999999994"/>
    <n v="0.35607664332627692"/>
    <n v="135000"/>
  </r>
  <r>
    <s v="ORD-0003"/>
    <x v="2"/>
    <x v="1"/>
    <s v="Denver"/>
    <x v="1"/>
    <x v="0"/>
    <x v="0"/>
    <s v="Printer Paper"/>
    <n v="3"/>
    <n v="12.64"/>
    <n v="37.92"/>
    <n v="5.96"/>
    <n v="17.88"/>
    <n v="20.04"/>
    <n v="0.52848101265822778"/>
    <n v="135000"/>
  </r>
  <r>
    <s v="ORD-0004"/>
    <x v="3"/>
    <x v="2"/>
    <s v="Seattle"/>
    <x v="1"/>
    <x v="0"/>
    <x v="2"/>
    <s v="Wireless Mouse"/>
    <n v="6"/>
    <n v="36.15"/>
    <n v="216.9"/>
    <n v="18.73"/>
    <n v="112.38"/>
    <n v="104.52"/>
    <n v="0.48188105117565694"/>
    <n v="155000"/>
  </r>
  <r>
    <s v="ORD-0005"/>
    <x v="4"/>
    <x v="0"/>
    <s v="San Antonio"/>
    <x v="1"/>
    <x v="0"/>
    <x v="2"/>
    <s v="Wireless Mouse"/>
    <n v="4"/>
    <n v="36.93"/>
    <n v="147.72"/>
    <n v="17.36"/>
    <n v="69.44"/>
    <n v="78.28"/>
    <n v="0.52992147305713511"/>
    <n v="140000"/>
  </r>
  <r>
    <s v="ORD-0006"/>
    <x v="5"/>
    <x v="3"/>
    <s v="New York"/>
    <x v="2"/>
    <x v="1"/>
    <x v="1"/>
    <s v="Office Chair"/>
    <n v="5"/>
    <n v="319.92"/>
    <n v="1599.6"/>
    <n v="219.12"/>
    <n v="1095.5999999999999"/>
    <n v="504"/>
    <n v="0.3150787696924231"/>
    <n v="165000"/>
  </r>
  <r>
    <s v="ORD-0007"/>
    <x v="6"/>
    <x v="3"/>
    <s v="Philadelphia"/>
    <x v="1"/>
    <x v="0"/>
    <x v="0"/>
    <s v="Ink Cartridge"/>
    <n v="3"/>
    <n v="42.74"/>
    <n v="128.22"/>
    <n v="23.63"/>
    <n v="70.89"/>
    <n v="57.33"/>
    <n v="0.4471221338324754"/>
    <n v="165000"/>
  </r>
  <r>
    <s v="ORD-0008"/>
    <x v="7"/>
    <x v="1"/>
    <s v="Kansas City"/>
    <x v="2"/>
    <x v="2"/>
    <x v="1"/>
    <s v="Bookshelf"/>
    <n v="4"/>
    <n v="189.11"/>
    <n v="756.44"/>
    <n v="120.09"/>
    <n v="480.36"/>
    <n v="276.08"/>
    <n v="0.36497276717254501"/>
    <n v="135000"/>
  </r>
  <r>
    <s v="ORD-0009"/>
    <x v="8"/>
    <x v="2"/>
    <s v="Los Angeles"/>
    <x v="2"/>
    <x v="0"/>
    <x v="0"/>
    <s v="Ink Cartridge"/>
    <n v="4"/>
    <n v="46.24"/>
    <n v="184.96"/>
    <n v="24.4"/>
    <n v="97.6"/>
    <n v="87.36"/>
    <n v="0.47231833910034599"/>
    <n v="155000"/>
  </r>
  <r>
    <s v="ORD-0010"/>
    <x v="9"/>
    <x v="2"/>
    <s v="Phoenix"/>
    <x v="1"/>
    <x v="1"/>
    <x v="1"/>
    <s v="Standing Desk"/>
    <n v="3"/>
    <n v="594.13"/>
    <n v="1782.39"/>
    <n v="423.4"/>
    <n v="1270.2"/>
    <n v="512.19000000000005"/>
    <n v="0.28736135189268341"/>
    <n v="155000"/>
  </r>
  <r>
    <s v="ORD-0011"/>
    <x v="10"/>
    <x v="3"/>
    <s v="Miami"/>
    <x v="2"/>
    <x v="0"/>
    <x v="2"/>
    <s v="Laptop"/>
    <n v="3"/>
    <n v="961.49"/>
    <n v="2884.47"/>
    <n v="697.75"/>
    <n v="2093.25"/>
    <n v="791.22"/>
    <n v="0.27430342489261461"/>
    <n v="165000"/>
  </r>
  <r>
    <s v="ORD-0012"/>
    <x v="11"/>
    <x v="0"/>
    <s v="Dallas"/>
    <x v="0"/>
    <x v="2"/>
    <x v="1"/>
    <s v="Office Chair"/>
    <n v="2"/>
    <n v="315.08999999999997"/>
    <n v="630.17999999999995"/>
    <n v="214.11"/>
    <n v="428.22"/>
    <n v="201.96"/>
    <n v="0.32047986289631536"/>
    <n v="140000"/>
  </r>
  <r>
    <s v="ORD-0013"/>
    <x v="12"/>
    <x v="3"/>
    <s v="New York"/>
    <x v="0"/>
    <x v="0"/>
    <x v="1"/>
    <s v="Bookshelf"/>
    <n v="5"/>
    <n v="192.44"/>
    <n v="962.2"/>
    <n v="114.31"/>
    <n v="571.54999999999995"/>
    <n v="390.65"/>
    <n v="0.40599667428808978"/>
    <n v="165000"/>
  </r>
  <r>
    <s v="ORD-0014"/>
    <x v="13"/>
    <x v="1"/>
    <s v="Denver"/>
    <x v="0"/>
    <x v="1"/>
    <x v="2"/>
    <s v="Monitor"/>
    <n v="3"/>
    <n v="263.04000000000002"/>
    <n v="789.12"/>
    <n v="174.72"/>
    <n v="524.16"/>
    <n v="264.95999999999998"/>
    <n v="0.33576642335766421"/>
    <n v="135000"/>
  </r>
  <r>
    <s v="ORD-0015"/>
    <x v="14"/>
    <x v="3"/>
    <s v="Boston"/>
    <x v="1"/>
    <x v="2"/>
    <x v="1"/>
    <s v="Bookshelf"/>
    <n v="1"/>
    <n v="185.72"/>
    <n v="185.72"/>
    <n v="116.02"/>
    <n v="116.02"/>
    <n v="69.7"/>
    <n v="0.37529614473400819"/>
    <n v="165000"/>
  </r>
  <r>
    <s v="ORD-0016"/>
    <x v="15"/>
    <x v="3"/>
    <s v="Philadelphia"/>
    <x v="1"/>
    <x v="0"/>
    <x v="0"/>
    <s v="Ink Cartridge"/>
    <n v="2"/>
    <n v="44.56"/>
    <n v="89.12"/>
    <n v="25"/>
    <n v="50"/>
    <n v="39.119999999999997"/>
    <n v="0.43895870736086173"/>
    <n v="165000"/>
  </r>
  <r>
    <s v="ORD-0017"/>
    <x v="16"/>
    <x v="2"/>
    <s v="San Diego"/>
    <x v="0"/>
    <x v="1"/>
    <x v="0"/>
    <s v="Desk Organizer"/>
    <n v="5"/>
    <n v="28.45"/>
    <n v="142.25"/>
    <n v="15.31"/>
    <n v="76.55"/>
    <n v="65.7"/>
    <n v="0.46186291739894553"/>
    <n v="155000"/>
  </r>
  <r>
    <s v="ORD-0018"/>
    <x v="17"/>
    <x v="2"/>
    <s v="Seattle"/>
    <x v="1"/>
    <x v="2"/>
    <x v="2"/>
    <s v="Wireless Mouse"/>
    <n v="8"/>
    <n v="38.43"/>
    <n v="307.44"/>
    <n v="18.09"/>
    <n v="144.72"/>
    <n v="162.72"/>
    <n v="0.52927400468384078"/>
    <n v="155000"/>
  </r>
  <r>
    <s v="ORD-0019"/>
    <x v="18"/>
    <x v="2"/>
    <s v="Los Angeles"/>
    <x v="1"/>
    <x v="2"/>
    <x v="2"/>
    <s v="Laptop"/>
    <n v="4"/>
    <n v="856.5"/>
    <n v="3426"/>
    <n v="742.16"/>
    <n v="2968.64"/>
    <n v="457.36"/>
    <n v="0.13349678925861064"/>
    <n v="155000"/>
  </r>
  <r>
    <s v="ORD-0020"/>
    <x v="19"/>
    <x v="2"/>
    <s v="Los Angeles"/>
    <x v="2"/>
    <x v="1"/>
    <x v="0"/>
    <s v="Ink Cartridge"/>
    <n v="4"/>
    <n v="40.369999999999997"/>
    <n v="161.47999999999999"/>
    <n v="24.2"/>
    <n v="96.8"/>
    <n v="64.680000000000007"/>
    <n v="0.40054495912806548"/>
    <n v="155000"/>
  </r>
  <r>
    <s v="ORD-0021"/>
    <x v="20"/>
    <x v="2"/>
    <s v="Phoenix"/>
    <x v="1"/>
    <x v="2"/>
    <x v="1"/>
    <s v="Office Chair"/>
    <n v="4"/>
    <n v="294.64"/>
    <n v="1178.56"/>
    <n v="215.44"/>
    <n v="861.76"/>
    <n v="316.8"/>
    <n v="0.26880260657073041"/>
    <n v="155000"/>
  </r>
  <r>
    <s v="ORD-0022"/>
    <x v="21"/>
    <x v="1"/>
    <s v="Minneapolis"/>
    <x v="0"/>
    <x v="2"/>
    <x v="0"/>
    <s v="Ink Cartridge"/>
    <n v="1"/>
    <n v="41.52"/>
    <n v="41.52"/>
    <n v="23.85"/>
    <n v="23.85"/>
    <n v="17.670000000000002"/>
    <n v="0.42557803468208094"/>
    <n v="135000"/>
  </r>
  <r>
    <s v="ORD-0023"/>
    <x v="22"/>
    <x v="2"/>
    <s v="San Diego"/>
    <x v="1"/>
    <x v="0"/>
    <x v="1"/>
    <s v="Office Chair"/>
    <n v="3"/>
    <n v="307.61"/>
    <n v="922.83"/>
    <n v="206.85"/>
    <n v="620.54999999999995"/>
    <n v="302.27999999999997"/>
    <n v="0.32755762166379504"/>
    <n v="155000"/>
  </r>
  <r>
    <s v="ORD-0024"/>
    <x v="23"/>
    <x v="1"/>
    <s v="Chicago"/>
    <x v="1"/>
    <x v="1"/>
    <x v="0"/>
    <s v="Printer Paper"/>
    <n v="2"/>
    <n v="13.25"/>
    <n v="26.5"/>
    <n v="6.27"/>
    <n v="12.54"/>
    <n v="13.96"/>
    <n v="0.52679245283018872"/>
    <n v="135000"/>
  </r>
  <r>
    <s v="ORD-0025"/>
    <x v="24"/>
    <x v="1"/>
    <s v="Minneapolis"/>
    <x v="0"/>
    <x v="1"/>
    <x v="0"/>
    <s v="Printer Paper"/>
    <n v="3"/>
    <n v="11.8"/>
    <n v="35.4"/>
    <n v="6.35"/>
    <n v="19.05"/>
    <n v="16.350000000000001"/>
    <n v="0.46186440677966106"/>
    <n v="135000"/>
  </r>
  <r>
    <s v="ORD-0026"/>
    <x v="25"/>
    <x v="1"/>
    <s v="Kansas City"/>
    <x v="1"/>
    <x v="1"/>
    <x v="1"/>
    <s v="Bookshelf"/>
    <n v="8"/>
    <n v="168.13"/>
    <n v="1345.04"/>
    <n v="113.81"/>
    <n v="910.48"/>
    <n v="434.56"/>
    <n v="0.32308332837685128"/>
    <n v="135000"/>
  </r>
  <r>
    <s v="ORD-0027"/>
    <x v="26"/>
    <x v="0"/>
    <s v="Austin"/>
    <x v="1"/>
    <x v="2"/>
    <x v="1"/>
    <s v="Bookshelf"/>
    <n v="3"/>
    <n v="164.25"/>
    <n v="492.75"/>
    <n v="116.24"/>
    <n v="348.72"/>
    <n v="144.03"/>
    <n v="0.29229832572298325"/>
    <n v="140000"/>
  </r>
  <r>
    <s v="ORD-0028"/>
    <x v="27"/>
    <x v="0"/>
    <s v="Houston"/>
    <x v="0"/>
    <x v="0"/>
    <x v="0"/>
    <s v="Ink Cartridge"/>
    <n v="4"/>
    <n v="43.15"/>
    <n v="172.6"/>
    <n v="23.14"/>
    <n v="92.56"/>
    <n v="80.040000000000006"/>
    <n v="0.46373117033603711"/>
    <n v="140000"/>
  </r>
  <r>
    <s v="ORD-0029"/>
    <x v="28"/>
    <x v="1"/>
    <s v="Kansas City"/>
    <x v="2"/>
    <x v="0"/>
    <x v="2"/>
    <s v="Wireless Mouse"/>
    <n v="4"/>
    <n v="33.549999999999997"/>
    <n v="134.19999999999999"/>
    <n v="17.52"/>
    <n v="70.08"/>
    <n v="64.12"/>
    <n v="0.4777943368107303"/>
    <n v="135000"/>
  </r>
  <r>
    <s v="ORD-0030"/>
    <x v="29"/>
    <x v="3"/>
    <s v="Miami"/>
    <x v="1"/>
    <x v="2"/>
    <x v="0"/>
    <s v="Ink Cartridge"/>
    <n v="1"/>
    <n v="42.03"/>
    <n v="42.03"/>
    <n v="25.44"/>
    <n v="25.44"/>
    <n v="16.59"/>
    <n v="0.39471805852962166"/>
    <n v="165000"/>
  </r>
  <r>
    <s v="ORD-0031"/>
    <x v="30"/>
    <x v="0"/>
    <s v="Dallas"/>
    <x v="0"/>
    <x v="0"/>
    <x v="2"/>
    <s v="Wireless Mouse"/>
    <n v="2"/>
    <n v="38.270000000000003"/>
    <n v="76.540000000000006"/>
    <n v="17.95"/>
    <n v="35.9"/>
    <n v="40.64"/>
    <n v="0.53096420172458847"/>
    <n v="140000"/>
  </r>
  <r>
    <s v="ORD-0032"/>
    <x v="31"/>
    <x v="1"/>
    <s v="Kansas City"/>
    <x v="0"/>
    <x v="1"/>
    <x v="1"/>
    <s v="Bookshelf"/>
    <n v="1"/>
    <n v="188.45"/>
    <n v="188.45"/>
    <n v="116.78"/>
    <n v="116.78"/>
    <n v="71.67"/>
    <n v="0.38031308039267714"/>
    <n v="135000"/>
  </r>
  <r>
    <s v="ORD-0033"/>
    <x v="32"/>
    <x v="0"/>
    <s v="Dallas"/>
    <x v="1"/>
    <x v="1"/>
    <x v="1"/>
    <s v="Bookshelf"/>
    <n v="3"/>
    <n v="172.78"/>
    <n v="518.34"/>
    <n v="117.36"/>
    <n v="352.08"/>
    <n v="166.26"/>
    <n v="0.32075471698113206"/>
    <n v="140000"/>
  </r>
  <r>
    <s v="ORD-0034"/>
    <x v="33"/>
    <x v="2"/>
    <s v="Seattle"/>
    <x v="0"/>
    <x v="0"/>
    <x v="0"/>
    <s v="Printer Paper"/>
    <n v="2"/>
    <n v="12.47"/>
    <n v="24.94"/>
    <n v="6.26"/>
    <n v="12.52"/>
    <n v="12.42"/>
    <n v="0.49799518845228546"/>
    <n v="155000"/>
  </r>
  <r>
    <s v="ORD-0035"/>
    <x v="34"/>
    <x v="0"/>
    <s v="Austin"/>
    <x v="2"/>
    <x v="2"/>
    <x v="2"/>
    <s v="Monitor"/>
    <n v="3"/>
    <n v="276.39999999999998"/>
    <n v="829.2"/>
    <n v="182.73"/>
    <n v="548.19000000000005"/>
    <n v="281.01"/>
    <n v="0.33889290882778578"/>
    <n v="140000"/>
  </r>
  <r>
    <s v="ORD-0036"/>
    <x v="35"/>
    <x v="0"/>
    <s v="Houston"/>
    <x v="1"/>
    <x v="1"/>
    <x v="0"/>
    <s v="Desk Organizer"/>
    <n v="1"/>
    <n v="30.34"/>
    <n v="30.34"/>
    <n v="15.27"/>
    <n v="15.27"/>
    <n v="15.07"/>
    <n v="0.49670402109426504"/>
    <n v="140000"/>
  </r>
  <r>
    <s v="ORD-0037"/>
    <x v="36"/>
    <x v="1"/>
    <s v="Denver"/>
    <x v="1"/>
    <x v="0"/>
    <x v="0"/>
    <s v="Printer Paper"/>
    <n v="6"/>
    <n v="11.35"/>
    <n v="68.099999999999994"/>
    <n v="5.91"/>
    <n v="35.46"/>
    <n v="32.64"/>
    <n v="0.47929515418502205"/>
    <n v="135000"/>
  </r>
  <r>
    <s v="ORD-0038"/>
    <x v="37"/>
    <x v="3"/>
    <s v="Miami"/>
    <x v="2"/>
    <x v="2"/>
    <x v="2"/>
    <s v="Laptop"/>
    <n v="3"/>
    <n v="1059.03"/>
    <n v="3177.09"/>
    <n v="749.58"/>
    <n v="2248.7399999999998"/>
    <n v="928.35"/>
    <n v="0.29220135406928982"/>
    <n v="165000"/>
  </r>
  <r>
    <s v="ORD-0039"/>
    <x v="38"/>
    <x v="0"/>
    <s v="Dallas"/>
    <x v="0"/>
    <x v="0"/>
    <x v="1"/>
    <s v="Office Chair"/>
    <n v="4"/>
    <n v="306.77999999999997"/>
    <n v="1227.1199999999999"/>
    <n v="218.13"/>
    <n v="872.52"/>
    <n v="354.6"/>
    <n v="0.28896929395658133"/>
    <n v="140000"/>
  </r>
  <r>
    <s v="ORD-0040"/>
    <x v="22"/>
    <x v="1"/>
    <s v="Chicago"/>
    <x v="2"/>
    <x v="0"/>
    <x v="1"/>
    <s v="Standing Desk"/>
    <n v="6"/>
    <n v="599.63"/>
    <n v="3597.78"/>
    <n v="447"/>
    <n v="2682"/>
    <n v="915.78"/>
    <n v="0.25454029985157511"/>
    <n v="135000"/>
  </r>
  <r>
    <s v="ORD-0041"/>
    <x v="5"/>
    <x v="2"/>
    <s v="Los Angeles"/>
    <x v="0"/>
    <x v="0"/>
    <x v="2"/>
    <s v="Monitor"/>
    <n v="2"/>
    <n v="289.31"/>
    <n v="578.62"/>
    <n v="177.82"/>
    <n v="355.64"/>
    <n v="222.98"/>
    <n v="0.38536517921952229"/>
    <n v="155000"/>
  </r>
  <r>
    <s v="ORD-0042"/>
    <x v="39"/>
    <x v="1"/>
    <s v="Kansas City"/>
    <x v="2"/>
    <x v="0"/>
    <x v="2"/>
    <s v="Monitor"/>
    <n v="3"/>
    <n v="267.20999999999998"/>
    <n v="801.63"/>
    <n v="190.5"/>
    <n v="571.5"/>
    <n v="230.13"/>
    <n v="0.28707757943190748"/>
    <n v="135000"/>
  </r>
  <r>
    <s v="ORD-0043"/>
    <x v="40"/>
    <x v="0"/>
    <s v="San Antonio"/>
    <x v="1"/>
    <x v="2"/>
    <x v="1"/>
    <s v="Office Chair"/>
    <n v="2"/>
    <n v="315.12"/>
    <n v="630.24"/>
    <n v="213.71"/>
    <n v="427.42"/>
    <n v="202.82"/>
    <n v="0.3218139121604468"/>
    <n v="140000"/>
  </r>
  <r>
    <s v="ORD-0044"/>
    <x v="41"/>
    <x v="0"/>
    <s v="San Antonio"/>
    <x v="1"/>
    <x v="1"/>
    <x v="1"/>
    <s v="Bookshelf"/>
    <n v="4"/>
    <n v="176.42"/>
    <n v="705.68"/>
    <n v="111.2"/>
    <n v="444.8"/>
    <n v="260.88"/>
    <n v="0.36968597664663871"/>
    <n v="140000"/>
  </r>
  <r>
    <s v="ORD-0045"/>
    <x v="42"/>
    <x v="3"/>
    <s v="Philadelphia"/>
    <x v="0"/>
    <x v="0"/>
    <x v="2"/>
    <s v="Monitor"/>
    <n v="5"/>
    <n v="272.14999999999998"/>
    <n v="1360.75"/>
    <n v="178.67"/>
    <n v="893.35"/>
    <n v="467.4"/>
    <n v="0.34348704758405291"/>
    <n v="165000"/>
  </r>
  <r>
    <s v="ORD-0046"/>
    <x v="43"/>
    <x v="3"/>
    <s v="Boston"/>
    <x v="1"/>
    <x v="2"/>
    <x v="1"/>
    <s v="Office Chair"/>
    <n v="3"/>
    <n v="331.33"/>
    <n v="993.99"/>
    <n v="207.92"/>
    <n v="623.76"/>
    <n v="370.23"/>
    <n v="0.37246853590076362"/>
    <n v="165000"/>
  </r>
  <r>
    <s v="ORD-0047"/>
    <x v="44"/>
    <x v="0"/>
    <s v="Austin"/>
    <x v="1"/>
    <x v="0"/>
    <x v="2"/>
    <s v="Wireless Mouse"/>
    <n v="8"/>
    <n v="34.9"/>
    <n v="279.2"/>
    <n v="18.5"/>
    <n v="148"/>
    <n v="131.19999999999999"/>
    <n v="0.46991404011461319"/>
    <n v="140000"/>
  </r>
  <r>
    <s v="ORD-0048"/>
    <x v="45"/>
    <x v="1"/>
    <s v="Denver"/>
    <x v="0"/>
    <x v="0"/>
    <x v="2"/>
    <s v="Wireless Mouse"/>
    <n v="2"/>
    <n v="37.799999999999997"/>
    <n v="75.599999999999994"/>
    <n v="18.63"/>
    <n v="37.26"/>
    <n v="38.340000000000003"/>
    <n v="0.50714285714285723"/>
    <n v="135000"/>
  </r>
  <r>
    <s v="ORD-0049"/>
    <x v="46"/>
    <x v="3"/>
    <s v="Boston"/>
    <x v="2"/>
    <x v="0"/>
    <x v="0"/>
    <s v="Printer Paper"/>
    <n v="4"/>
    <n v="13.4"/>
    <n v="53.6"/>
    <n v="6.13"/>
    <n v="24.52"/>
    <n v="29.08"/>
    <n v="0.54253731343283573"/>
    <n v="165000"/>
  </r>
  <r>
    <s v="ORD-0050"/>
    <x v="47"/>
    <x v="1"/>
    <s v="Minneapolis"/>
    <x v="2"/>
    <x v="2"/>
    <x v="1"/>
    <s v="Office Chair"/>
    <n v="8"/>
    <n v="316.14"/>
    <n v="2529.12"/>
    <n v="204.7"/>
    <n v="1637.6"/>
    <n v="891.52"/>
    <n v="0.35250205605111662"/>
    <n v="135000"/>
  </r>
  <r>
    <s v="ORD-0051"/>
    <x v="48"/>
    <x v="0"/>
    <s v="Houston"/>
    <x v="2"/>
    <x v="0"/>
    <x v="1"/>
    <s v="Bookshelf"/>
    <n v="8"/>
    <n v="163.99"/>
    <n v="1311.92"/>
    <n v="113.27"/>
    <n v="906.16"/>
    <n v="405.76"/>
    <n v="0.30928715165558873"/>
    <n v="140000"/>
  </r>
  <r>
    <s v="ORD-0052"/>
    <x v="49"/>
    <x v="1"/>
    <s v="Denver"/>
    <x v="2"/>
    <x v="2"/>
    <x v="1"/>
    <s v="Bookshelf"/>
    <n v="6"/>
    <n v="199.62"/>
    <n v="1197.72"/>
    <n v="120.65"/>
    <n v="723.9"/>
    <n v="473.82"/>
    <n v="0.39560164312193163"/>
    <n v="135000"/>
  </r>
  <r>
    <s v="ORD-0053"/>
    <x v="50"/>
    <x v="1"/>
    <s v="Minneapolis"/>
    <x v="2"/>
    <x v="2"/>
    <x v="1"/>
    <s v="Standing Desk"/>
    <n v="8"/>
    <n v="593.35"/>
    <n v="4746.8"/>
    <n v="423.43"/>
    <n v="3387.44"/>
    <n v="1359.36"/>
    <n v="0.28637397825903765"/>
    <n v="135000"/>
  </r>
  <r>
    <s v="ORD-0054"/>
    <x v="51"/>
    <x v="3"/>
    <s v="Miami"/>
    <x v="0"/>
    <x v="0"/>
    <x v="0"/>
    <s v="Ink Cartridge"/>
    <n v="5"/>
    <n v="39.97"/>
    <n v="199.85"/>
    <n v="23.85"/>
    <n v="119.25"/>
    <n v="80.599999999999994"/>
    <n v="0.4033024768576432"/>
    <n v="165000"/>
  </r>
  <r>
    <s v="ORD-0055"/>
    <x v="20"/>
    <x v="0"/>
    <s v="Dallas"/>
    <x v="1"/>
    <x v="0"/>
    <x v="0"/>
    <s v="Desk Organizer"/>
    <n v="4"/>
    <n v="25.6"/>
    <n v="102.4"/>
    <n v="15.01"/>
    <n v="60.04"/>
    <n v="42.36"/>
    <n v="0.41367187499999997"/>
    <n v="140000"/>
  </r>
  <r>
    <s v="ORD-0056"/>
    <x v="52"/>
    <x v="1"/>
    <s v="Minneapolis"/>
    <x v="1"/>
    <x v="1"/>
    <x v="1"/>
    <s v="Office Chair"/>
    <n v="1"/>
    <n v="348.31"/>
    <n v="348.31"/>
    <n v="217.68"/>
    <n v="217.68"/>
    <n v="130.63"/>
    <n v="0.37503947632855789"/>
    <n v="135000"/>
  </r>
  <r>
    <s v="ORD-0057"/>
    <x v="53"/>
    <x v="1"/>
    <s v="Chicago"/>
    <x v="2"/>
    <x v="0"/>
    <x v="1"/>
    <s v="Office Chair"/>
    <n v="7"/>
    <n v="325.89"/>
    <n v="2281.23"/>
    <n v="217.03"/>
    <n v="1519.21"/>
    <n v="762.02"/>
    <n v="0.3340390929454724"/>
    <n v="135000"/>
  </r>
  <r>
    <s v="ORD-0058"/>
    <x v="54"/>
    <x v="2"/>
    <s v="Phoenix"/>
    <x v="1"/>
    <x v="0"/>
    <x v="0"/>
    <s v="Printer Paper"/>
    <n v="7"/>
    <n v="11.69"/>
    <n v="81.83"/>
    <n v="6.17"/>
    <n v="43.19"/>
    <n v="38.64"/>
    <n v="0.47219846022241235"/>
    <n v="155000"/>
  </r>
  <r>
    <s v="ORD-0059"/>
    <x v="55"/>
    <x v="2"/>
    <s v="Phoenix"/>
    <x v="2"/>
    <x v="1"/>
    <x v="1"/>
    <s v="Bookshelf"/>
    <n v="1"/>
    <n v="197.91"/>
    <n v="197.91"/>
    <n v="117.21"/>
    <n v="117.21"/>
    <n v="80.7"/>
    <n v="0.40776110353190848"/>
    <n v="155000"/>
  </r>
  <r>
    <s v="ORD-0060"/>
    <x v="32"/>
    <x v="0"/>
    <s v="Houston"/>
    <x v="0"/>
    <x v="0"/>
    <x v="1"/>
    <s v="Standing Desk"/>
    <n v="3"/>
    <n v="564.86"/>
    <n v="1694.58"/>
    <n v="429.1"/>
    <n v="1287.3"/>
    <n v="407.28"/>
    <n v="0.24034273979393123"/>
    <n v="140000"/>
  </r>
  <r>
    <s v="ORD-0061"/>
    <x v="17"/>
    <x v="1"/>
    <s v="Kansas City"/>
    <x v="1"/>
    <x v="1"/>
    <x v="2"/>
    <s v="Monitor"/>
    <n v="7"/>
    <n v="248.43"/>
    <n v="1739.01"/>
    <n v="174.27"/>
    <n v="1219.8900000000001"/>
    <n v="519.12"/>
    <n v="0.29851467214104577"/>
    <n v="135000"/>
  </r>
  <r>
    <s v="ORD-0062"/>
    <x v="56"/>
    <x v="0"/>
    <s v="Austin"/>
    <x v="1"/>
    <x v="0"/>
    <x v="0"/>
    <s v="Printer Paper"/>
    <n v="1"/>
    <n v="13.31"/>
    <n v="13.31"/>
    <n v="5.88"/>
    <n v="5.88"/>
    <n v="7.43"/>
    <n v="0.55822689706987227"/>
    <n v="140000"/>
  </r>
  <r>
    <s v="ORD-0063"/>
    <x v="57"/>
    <x v="2"/>
    <s v="San Diego"/>
    <x v="1"/>
    <x v="2"/>
    <x v="2"/>
    <s v="Laptop"/>
    <n v="8"/>
    <n v="1001.19"/>
    <n v="8009.52"/>
    <n v="746.42"/>
    <n v="5971.36"/>
    <n v="2038.16"/>
    <n v="0.25446718405097934"/>
    <n v="155000"/>
  </r>
  <r>
    <s v="ORD-0064"/>
    <x v="24"/>
    <x v="0"/>
    <s v="Dallas"/>
    <x v="2"/>
    <x v="0"/>
    <x v="0"/>
    <s v="Printer Paper"/>
    <n v="5"/>
    <n v="12.32"/>
    <n v="61.6"/>
    <n v="6.3"/>
    <n v="31.5"/>
    <n v="30.1"/>
    <n v="0.48863636363636365"/>
    <n v="140000"/>
  </r>
  <r>
    <s v="ORD-0065"/>
    <x v="58"/>
    <x v="1"/>
    <s v="Denver"/>
    <x v="1"/>
    <x v="2"/>
    <x v="2"/>
    <s v="Laptop"/>
    <n v="2"/>
    <n v="1000.71"/>
    <n v="2001.42"/>
    <n v="712.91"/>
    <n v="1425.82"/>
    <n v="575.6"/>
    <n v="0.28759580697704629"/>
    <n v="135000"/>
  </r>
  <r>
    <s v="ORD-0066"/>
    <x v="59"/>
    <x v="0"/>
    <s v="Houston"/>
    <x v="1"/>
    <x v="0"/>
    <x v="2"/>
    <s v="Wireless Mouse"/>
    <n v="2"/>
    <n v="35.4"/>
    <n v="70.8"/>
    <n v="17.89"/>
    <n v="35.78"/>
    <n v="35.020000000000003"/>
    <n v="0.49463276836158199"/>
    <n v="140000"/>
  </r>
  <r>
    <s v="ORD-0067"/>
    <x v="60"/>
    <x v="1"/>
    <s v="Chicago"/>
    <x v="1"/>
    <x v="0"/>
    <x v="1"/>
    <s v="Standing Desk"/>
    <n v="3"/>
    <n v="617.4"/>
    <n v="1852.2"/>
    <n v="444.35"/>
    <n v="1333.05"/>
    <n v="519.15"/>
    <n v="0.28028830579850988"/>
    <n v="135000"/>
  </r>
  <r>
    <s v="ORD-0068"/>
    <x v="61"/>
    <x v="3"/>
    <s v="Miami"/>
    <x v="0"/>
    <x v="1"/>
    <x v="2"/>
    <s v="Monitor"/>
    <n v="6"/>
    <n v="282.72000000000003"/>
    <n v="1696.32"/>
    <n v="187.75"/>
    <n v="1126.5"/>
    <n v="569.82000000000005"/>
    <n v="0.33591539332201475"/>
    <n v="165000"/>
  </r>
  <r>
    <s v="ORD-0069"/>
    <x v="1"/>
    <x v="3"/>
    <s v="Miami"/>
    <x v="1"/>
    <x v="2"/>
    <x v="1"/>
    <s v="Office Chair"/>
    <n v="6"/>
    <n v="290.02"/>
    <n v="1740.12"/>
    <n v="219.47"/>
    <n v="1316.82"/>
    <n v="423.3"/>
    <n v="0.24325908558030482"/>
    <n v="165000"/>
  </r>
  <r>
    <s v="ORD-0070"/>
    <x v="62"/>
    <x v="1"/>
    <s v="Denver"/>
    <x v="1"/>
    <x v="0"/>
    <x v="2"/>
    <s v="Monitor"/>
    <n v="5"/>
    <n v="265.79000000000002"/>
    <n v="1328.95"/>
    <n v="182.1"/>
    <n v="910.5"/>
    <n v="418.45"/>
    <n v="0.31487264381654689"/>
    <n v="135000"/>
  </r>
  <r>
    <s v="ORD-0071"/>
    <x v="63"/>
    <x v="0"/>
    <s v="Dallas"/>
    <x v="0"/>
    <x v="2"/>
    <x v="2"/>
    <s v="Laptop"/>
    <n v="8"/>
    <n v="989.99"/>
    <n v="7919.92"/>
    <n v="726.54"/>
    <n v="5812.32"/>
    <n v="2107.6"/>
    <n v="0.26611379912928412"/>
    <n v="140000"/>
  </r>
  <r>
    <s v="ORD-0072"/>
    <x v="64"/>
    <x v="0"/>
    <s v="Austin"/>
    <x v="1"/>
    <x v="2"/>
    <x v="2"/>
    <s v="Monitor"/>
    <n v="6"/>
    <n v="261.07"/>
    <n v="1566.42"/>
    <n v="182.36"/>
    <n v="1094.1600000000001"/>
    <n v="472.26"/>
    <n v="0.30149002183322476"/>
    <n v="140000"/>
  </r>
  <r>
    <s v="ORD-0073"/>
    <x v="65"/>
    <x v="3"/>
    <s v="Philadelphia"/>
    <x v="0"/>
    <x v="0"/>
    <x v="2"/>
    <s v="Monitor"/>
    <n v="4"/>
    <n v="240.9"/>
    <n v="963.6"/>
    <n v="176.27"/>
    <n v="705.08"/>
    <n v="258.52"/>
    <n v="0.26828559568285593"/>
    <n v="165000"/>
  </r>
  <r>
    <s v="ORD-0074"/>
    <x v="66"/>
    <x v="2"/>
    <s v="San Diego"/>
    <x v="1"/>
    <x v="2"/>
    <x v="1"/>
    <s v="Bookshelf"/>
    <n v="5"/>
    <n v="200.83"/>
    <n v="1004.15"/>
    <n v="119.98"/>
    <n v="599.9"/>
    <n v="404.25"/>
    <n v="0.40257929592192404"/>
    <n v="155000"/>
  </r>
  <r>
    <s v="ORD-0075"/>
    <x v="67"/>
    <x v="2"/>
    <s v="Seattle"/>
    <x v="1"/>
    <x v="0"/>
    <x v="1"/>
    <s v="Bookshelf"/>
    <n v="3"/>
    <n v="172.86"/>
    <n v="518.58000000000004"/>
    <n v="121.6"/>
    <n v="364.8"/>
    <n v="153.78"/>
    <n v="0.29654055304870991"/>
    <n v="155000"/>
  </r>
  <r>
    <s v="ORD-0076"/>
    <x v="68"/>
    <x v="3"/>
    <s v="Boston"/>
    <x v="0"/>
    <x v="2"/>
    <x v="0"/>
    <s v="Ink Cartridge"/>
    <n v="1"/>
    <n v="43.1"/>
    <n v="43.1"/>
    <n v="24.17"/>
    <n v="24.17"/>
    <n v="18.93"/>
    <n v="0.43921113689095126"/>
    <n v="165000"/>
  </r>
  <r>
    <s v="ORD-0077"/>
    <x v="69"/>
    <x v="3"/>
    <s v="Boston"/>
    <x v="2"/>
    <x v="0"/>
    <x v="1"/>
    <s v="Standing Desk"/>
    <n v="2"/>
    <n v="670.14"/>
    <n v="1340.28"/>
    <n v="430.03"/>
    <n v="860.06"/>
    <n v="480.22"/>
    <n v="0.35829826603396309"/>
    <n v="165000"/>
  </r>
  <r>
    <s v="ORD-0078"/>
    <x v="47"/>
    <x v="0"/>
    <s v="Dallas"/>
    <x v="1"/>
    <x v="2"/>
    <x v="2"/>
    <s v="Monitor"/>
    <n v="2"/>
    <n v="290.85000000000002"/>
    <n v="581.70000000000005"/>
    <n v="174.93"/>
    <n v="349.86"/>
    <n v="231.84"/>
    <n v="0.39855595667870036"/>
    <n v="140000"/>
  </r>
  <r>
    <s v="ORD-0079"/>
    <x v="70"/>
    <x v="2"/>
    <s v="Phoenix"/>
    <x v="0"/>
    <x v="0"/>
    <x v="1"/>
    <s v="Office Chair"/>
    <n v="5"/>
    <n v="328.03"/>
    <n v="1640.15"/>
    <n v="202.86"/>
    <n v="1014.3"/>
    <n v="625.85"/>
    <n v="0.38158095296161937"/>
    <n v="155000"/>
  </r>
  <r>
    <s v="ORD-0080"/>
    <x v="71"/>
    <x v="2"/>
    <s v="San Diego"/>
    <x v="1"/>
    <x v="0"/>
    <x v="2"/>
    <s v="Laptop"/>
    <n v="3"/>
    <n v="970.37"/>
    <n v="2911.11"/>
    <n v="702.47"/>
    <n v="2107.41"/>
    <n v="803.7"/>
    <n v="0.27608025804590003"/>
    <n v="155000"/>
  </r>
  <r>
    <s v="ORD-0081"/>
    <x v="72"/>
    <x v="1"/>
    <s v="Minneapolis"/>
    <x v="1"/>
    <x v="0"/>
    <x v="2"/>
    <s v="Monitor"/>
    <n v="8"/>
    <n v="238.07"/>
    <n v="1904.56"/>
    <n v="177"/>
    <n v="1416"/>
    <n v="488.56"/>
    <n v="0.2565211912462721"/>
    <n v="135000"/>
  </r>
  <r>
    <s v="ORD-0082"/>
    <x v="25"/>
    <x v="2"/>
    <s v="Phoenix"/>
    <x v="1"/>
    <x v="0"/>
    <x v="0"/>
    <s v="Desk Organizer"/>
    <n v="5"/>
    <n v="30.29"/>
    <n v="151.44999999999999"/>
    <n v="14.51"/>
    <n v="72.55"/>
    <n v="78.900000000000006"/>
    <n v="0.52096401452624641"/>
    <n v="155000"/>
  </r>
  <r>
    <s v="ORD-0083"/>
    <x v="73"/>
    <x v="3"/>
    <s v="Philadelphia"/>
    <x v="1"/>
    <x v="2"/>
    <x v="2"/>
    <s v="Monitor"/>
    <n v="7"/>
    <n v="287.92"/>
    <n v="2015.44"/>
    <n v="181.81"/>
    <n v="1272.67"/>
    <n v="742.77"/>
    <n v="0.36853987218671852"/>
    <n v="165000"/>
  </r>
  <r>
    <s v="ORD-0084"/>
    <x v="74"/>
    <x v="1"/>
    <s v="Chicago"/>
    <x v="0"/>
    <x v="1"/>
    <x v="2"/>
    <s v="Wireless Mouse"/>
    <n v="5"/>
    <n v="31.7"/>
    <n v="158.5"/>
    <n v="17.690000000000001"/>
    <n v="88.45"/>
    <n v="70.05"/>
    <n v="0.4419558359621451"/>
    <n v="135000"/>
  </r>
  <r>
    <s v="ORD-0085"/>
    <x v="75"/>
    <x v="0"/>
    <s v="Austin"/>
    <x v="0"/>
    <x v="2"/>
    <x v="0"/>
    <s v="Desk Organizer"/>
    <n v="8"/>
    <n v="28.4"/>
    <n v="227.2"/>
    <n v="15.06"/>
    <n v="120.48"/>
    <n v="106.72"/>
    <n v="0.46971830985915497"/>
    <n v="140000"/>
  </r>
  <r>
    <s v="ORD-0086"/>
    <x v="76"/>
    <x v="2"/>
    <s v="Phoenix"/>
    <x v="0"/>
    <x v="2"/>
    <x v="0"/>
    <s v="Ink Cartridge"/>
    <n v="8"/>
    <n v="41.02"/>
    <n v="328.16"/>
    <n v="23.84"/>
    <n v="190.72"/>
    <n v="137.44"/>
    <n v="0.41882008776206725"/>
    <n v="155000"/>
  </r>
  <r>
    <s v="ORD-0087"/>
    <x v="77"/>
    <x v="0"/>
    <s v="Dallas"/>
    <x v="1"/>
    <x v="2"/>
    <x v="2"/>
    <s v="Monitor"/>
    <n v="7"/>
    <n v="280.54000000000002"/>
    <n v="1963.78"/>
    <n v="182.7"/>
    <n v="1278.9000000000001"/>
    <n v="684.88"/>
    <n v="0.34875597062807445"/>
    <n v="140000"/>
  </r>
  <r>
    <s v="ORD-0088"/>
    <x v="78"/>
    <x v="0"/>
    <s v="Austin"/>
    <x v="1"/>
    <x v="0"/>
    <x v="1"/>
    <s v="Office Chair"/>
    <n v="1"/>
    <n v="334.3"/>
    <n v="334.3"/>
    <n v="212.99"/>
    <n v="212.99"/>
    <n v="121.31"/>
    <n v="0.36287765480107687"/>
    <n v="140000"/>
  </r>
  <r>
    <s v="ORD-0089"/>
    <x v="38"/>
    <x v="0"/>
    <s v="Dallas"/>
    <x v="0"/>
    <x v="2"/>
    <x v="1"/>
    <s v="Standing Desk"/>
    <n v="8"/>
    <n v="661.66"/>
    <n v="5293.28"/>
    <n v="421.55"/>
    <n v="3372.4"/>
    <n v="1920.88"/>
    <n v="0.3628903061995587"/>
    <n v="140000"/>
  </r>
  <r>
    <s v="ORD-0090"/>
    <x v="79"/>
    <x v="2"/>
    <s v="Seattle"/>
    <x v="1"/>
    <x v="2"/>
    <x v="0"/>
    <s v="Ink Cartridge"/>
    <n v="1"/>
    <n v="46.79"/>
    <n v="46.79"/>
    <n v="24.5"/>
    <n v="24.5"/>
    <n v="22.29"/>
    <n v="0.47638384270143191"/>
    <n v="155000"/>
  </r>
  <r>
    <s v="ORD-0091"/>
    <x v="80"/>
    <x v="2"/>
    <s v="Seattle"/>
    <x v="0"/>
    <x v="2"/>
    <x v="0"/>
    <s v="Ink Cartridge"/>
    <n v="4"/>
    <n v="46.97"/>
    <n v="187.88"/>
    <n v="25.23"/>
    <n v="100.92"/>
    <n v="86.96"/>
    <n v="0.462848626783053"/>
    <n v="155000"/>
  </r>
  <r>
    <s v="ORD-0092"/>
    <x v="7"/>
    <x v="0"/>
    <s v="Dallas"/>
    <x v="0"/>
    <x v="2"/>
    <x v="1"/>
    <s v="Bookshelf"/>
    <n v="5"/>
    <n v="178.45"/>
    <n v="892.25"/>
    <n v="115.95"/>
    <n v="579.75"/>
    <n v="312.5"/>
    <n v="0.35023816195012608"/>
    <n v="140000"/>
  </r>
  <r>
    <s v="ORD-0093"/>
    <x v="81"/>
    <x v="2"/>
    <s v="Phoenix"/>
    <x v="0"/>
    <x v="0"/>
    <x v="1"/>
    <s v="Bookshelf"/>
    <n v="3"/>
    <n v="196.22"/>
    <n v="588.66"/>
    <n v="113.58"/>
    <n v="340.74"/>
    <n v="247.92"/>
    <n v="0.42115992253592904"/>
    <n v="155000"/>
  </r>
  <r>
    <s v="ORD-0094"/>
    <x v="82"/>
    <x v="3"/>
    <s v="Philadelphia"/>
    <x v="2"/>
    <x v="0"/>
    <x v="2"/>
    <s v="Monitor"/>
    <n v="8"/>
    <n v="283.49"/>
    <n v="2267.92"/>
    <n v="180.84"/>
    <n v="1446.72"/>
    <n v="821.2"/>
    <n v="0.36209390101943634"/>
    <n v="165000"/>
  </r>
  <r>
    <s v="ORD-0095"/>
    <x v="83"/>
    <x v="3"/>
    <s v="Philadelphia"/>
    <x v="0"/>
    <x v="2"/>
    <x v="1"/>
    <s v="Standing Desk"/>
    <n v="6"/>
    <n v="676.61"/>
    <n v="4059.66"/>
    <n v="454.97"/>
    <n v="2729.82"/>
    <n v="1329.84"/>
    <n v="0.32757423035426614"/>
    <n v="165000"/>
  </r>
  <r>
    <s v="ORD-0096"/>
    <x v="80"/>
    <x v="1"/>
    <s v="Denver"/>
    <x v="2"/>
    <x v="0"/>
    <x v="2"/>
    <s v="Wireless Mouse"/>
    <n v="8"/>
    <n v="36.93"/>
    <n v="295.44"/>
    <n v="18.739999999999998"/>
    <n v="149.91999999999999"/>
    <n v="145.52000000000001"/>
    <n v="0.49255347955591666"/>
    <n v="135000"/>
  </r>
  <r>
    <s v="ORD-0097"/>
    <x v="84"/>
    <x v="2"/>
    <s v="Phoenix"/>
    <x v="2"/>
    <x v="0"/>
    <x v="2"/>
    <s v="Wireless Mouse"/>
    <n v="2"/>
    <n v="38.229999999999997"/>
    <n v="76.459999999999994"/>
    <n v="18.07"/>
    <n v="36.14"/>
    <n v="40.32"/>
    <n v="0.52733455401517138"/>
    <n v="155000"/>
  </r>
  <r>
    <s v="ORD-0098"/>
    <x v="85"/>
    <x v="1"/>
    <s v="Chicago"/>
    <x v="0"/>
    <x v="0"/>
    <x v="0"/>
    <s v="Desk Organizer"/>
    <n v="2"/>
    <n v="28.09"/>
    <n v="56.18"/>
    <n v="15.85"/>
    <n v="31.7"/>
    <n v="24.48"/>
    <n v="0.43574225703097191"/>
    <n v="135000"/>
  </r>
  <r>
    <s v="ORD-0099"/>
    <x v="86"/>
    <x v="1"/>
    <s v="Chicago"/>
    <x v="2"/>
    <x v="1"/>
    <x v="1"/>
    <s v="Bookshelf"/>
    <n v="7"/>
    <n v="199.78"/>
    <n v="1398.46"/>
    <n v="117.61"/>
    <n v="823.27"/>
    <n v="575.19000000000005"/>
    <n v="0.41130243267594357"/>
    <n v="135000"/>
  </r>
  <r>
    <s v="ORD-0100"/>
    <x v="87"/>
    <x v="0"/>
    <s v="Houston"/>
    <x v="1"/>
    <x v="2"/>
    <x v="2"/>
    <s v="Monitor"/>
    <n v="4"/>
    <n v="276.72000000000003"/>
    <n v="1106.8800000000001"/>
    <n v="180.61"/>
    <n v="722.44"/>
    <n v="384.44"/>
    <n v="0.34731858918762643"/>
    <n v="140000"/>
  </r>
  <r>
    <s v="ORD-0101"/>
    <x v="71"/>
    <x v="0"/>
    <s v="San Antonio"/>
    <x v="1"/>
    <x v="0"/>
    <x v="0"/>
    <s v="Printer Paper"/>
    <n v="1"/>
    <n v="11.66"/>
    <n v="11.66"/>
    <n v="5.79"/>
    <n v="5.79"/>
    <n v="5.87"/>
    <n v="0.50343053173241847"/>
    <n v="140000"/>
  </r>
  <r>
    <s v="ORD-0102"/>
    <x v="88"/>
    <x v="3"/>
    <s v="Miami"/>
    <x v="1"/>
    <x v="2"/>
    <x v="0"/>
    <s v="Desk Organizer"/>
    <n v="3"/>
    <n v="26.28"/>
    <n v="78.84"/>
    <n v="15.31"/>
    <n v="45.93"/>
    <n v="32.909999999999997"/>
    <n v="0.41742770167427695"/>
    <n v="165000"/>
  </r>
  <r>
    <s v="ORD-0103"/>
    <x v="89"/>
    <x v="2"/>
    <s v="Phoenix"/>
    <x v="2"/>
    <x v="0"/>
    <x v="1"/>
    <s v="Standing Desk"/>
    <n v="5"/>
    <n v="620.69000000000005"/>
    <n v="3103.45"/>
    <n v="441.47"/>
    <n v="2207.35"/>
    <n v="896.1"/>
    <n v="0.28874317292045953"/>
    <n v="155000"/>
  </r>
  <r>
    <s v="ORD-0104"/>
    <x v="90"/>
    <x v="3"/>
    <s v="Boston"/>
    <x v="1"/>
    <x v="1"/>
    <x v="2"/>
    <s v="Monitor"/>
    <n v="7"/>
    <n v="273.49"/>
    <n v="1914.43"/>
    <n v="181.02"/>
    <n v="1267.1400000000001"/>
    <n v="647.29"/>
    <n v="0.33811108267212692"/>
    <n v="165000"/>
  </r>
  <r>
    <s v="ORD-0105"/>
    <x v="91"/>
    <x v="2"/>
    <s v="Phoenix"/>
    <x v="2"/>
    <x v="0"/>
    <x v="1"/>
    <s v="Office Chair"/>
    <n v="6"/>
    <n v="328.47"/>
    <n v="1970.82"/>
    <n v="222.45"/>
    <n v="1334.7"/>
    <n v="636.12"/>
    <n v="0.32276920266691023"/>
    <n v="155000"/>
  </r>
  <r>
    <s v="ORD-0106"/>
    <x v="67"/>
    <x v="0"/>
    <s v="San Antonio"/>
    <x v="1"/>
    <x v="2"/>
    <x v="0"/>
    <s v="Printer Paper"/>
    <n v="8"/>
    <n v="13"/>
    <n v="104"/>
    <n v="6.3"/>
    <n v="50.4"/>
    <n v="53.6"/>
    <n v="0.51538461538461544"/>
    <n v="140000"/>
  </r>
  <r>
    <s v="ORD-0107"/>
    <x v="92"/>
    <x v="3"/>
    <s v="Boston"/>
    <x v="0"/>
    <x v="2"/>
    <x v="0"/>
    <s v="Desk Organizer"/>
    <n v="2"/>
    <n v="30.76"/>
    <n v="61.52"/>
    <n v="15.37"/>
    <n v="30.74"/>
    <n v="30.78"/>
    <n v="0.5003250975292588"/>
    <n v="165000"/>
  </r>
  <r>
    <s v="ORD-0108"/>
    <x v="93"/>
    <x v="1"/>
    <s v="Chicago"/>
    <x v="0"/>
    <x v="2"/>
    <x v="0"/>
    <s v="Ink Cartridge"/>
    <n v="5"/>
    <n v="40.82"/>
    <n v="204.1"/>
    <n v="24.04"/>
    <n v="120.2"/>
    <n v="83.9"/>
    <n v="0.41107300342969139"/>
    <n v="135000"/>
  </r>
  <r>
    <s v="ORD-0109"/>
    <x v="94"/>
    <x v="2"/>
    <s v="Seattle"/>
    <x v="0"/>
    <x v="1"/>
    <x v="0"/>
    <s v="Desk Organizer"/>
    <n v="5"/>
    <n v="30.83"/>
    <n v="154.15"/>
    <n v="15.82"/>
    <n v="79.099999999999994"/>
    <n v="75.05"/>
    <n v="0.48686344469672393"/>
    <n v="155000"/>
  </r>
  <r>
    <s v="ORD-0110"/>
    <x v="67"/>
    <x v="3"/>
    <s v="New York"/>
    <x v="0"/>
    <x v="0"/>
    <x v="2"/>
    <s v="Laptop"/>
    <n v="7"/>
    <n v="1057.1600000000001"/>
    <n v="7400.12"/>
    <n v="749.13"/>
    <n v="5243.91"/>
    <n v="2156.21"/>
    <n v="0.29137500472965305"/>
    <n v="165000"/>
  </r>
  <r>
    <s v="ORD-0111"/>
    <x v="95"/>
    <x v="0"/>
    <s v="San Antonio"/>
    <x v="1"/>
    <x v="2"/>
    <x v="1"/>
    <s v="Standing Desk"/>
    <n v="6"/>
    <n v="649.77"/>
    <n v="3898.62"/>
    <n v="441.71"/>
    <n v="2650.26"/>
    <n v="1248.3599999999999"/>
    <n v="0.3202056112162765"/>
    <n v="140000"/>
  </r>
  <r>
    <s v="ORD-0112"/>
    <x v="96"/>
    <x v="1"/>
    <s v="Kansas City"/>
    <x v="1"/>
    <x v="0"/>
    <x v="0"/>
    <s v="Printer Paper"/>
    <n v="6"/>
    <n v="13.22"/>
    <n v="79.319999999999993"/>
    <n v="5.89"/>
    <n v="35.340000000000003"/>
    <n v="43.98"/>
    <n v="0.5544629349470499"/>
    <n v="135000"/>
  </r>
  <r>
    <s v="ORD-0113"/>
    <x v="97"/>
    <x v="1"/>
    <s v="Kansas City"/>
    <x v="0"/>
    <x v="0"/>
    <x v="0"/>
    <s v="Printer Paper"/>
    <n v="1"/>
    <n v="11.6"/>
    <n v="11.6"/>
    <n v="6.06"/>
    <n v="6.06"/>
    <n v="5.54"/>
    <n v="0.47758620689655173"/>
    <n v="135000"/>
  </r>
  <r>
    <s v="ORD-0114"/>
    <x v="98"/>
    <x v="2"/>
    <s v="San Diego"/>
    <x v="1"/>
    <x v="0"/>
    <x v="1"/>
    <s v="Bookshelf"/>
    <n v="7"/>
    <n v="185.26"/>
    <n v="1296.82"/>
    <n v="118.76"/>
    <n v="831.32"/>
    <n v="465.5"/>
    <n v="0.3589549821871964"/>
    <n v="155000"/>
  </r>
  <r>
    <s v="ORD-0115"/>
    <x v="82"/>
    <x v="0"/>
    <s v="San Antonio"/>
    <x v="0"/>
    <x v="1"/>
    <x v="2"/>
    <s v="Monitor"/>
    <n v="1"/>
    <n v="273.48"/>
    <n v="273.48"/>
    <n v="176.71"/>
    <n v="176.71"/>
    <n v="96.77"/>
    <n v="0.35384671639608012"/>
    <n v="140000"/>
  </r>
  <r>
    <s v="ORD-0116"/>
    <x v="99"/>
    <x v="2"/>
    <s v="Seattle"/>
    <x v="1"/>
    <x v="2"/>
    <x v="1"/>
    <s v="Bookshelf"/>
    <n v="6"/>
    <n v="164.4"/>
    <n v="986.4"/>
    <n v="113.57"/>
    <n v="681.42"/>
    <n v="304.98"/>
    <n v="0.30918491484184918"/>
    <n v="155000"/>
  </r>
  <r>
    <s v="ORD-0117"/>
    <x v="49"/>
    <x v="1"/>
    <s v="Chicago"/>
    <x v="0"/>
    <x v="2"/>
    <x v="0"/>
    <s v="Printer Paper"/>
    <n v="1"/>
    <n v="12.88"/>
    <n v="12.88"/>
    <n v="5.91"/>
    <n v="5.91"/>
    <n v="6.97"/>
    <n v="0.54114906832298126"/>
    <n v="135000"/>
  </r>
  <r>
    <s v="ORD-0118"/>
    <x v="100"/>
    <x v="2"/>
    <s v="Los Angeles"/>
    <x v="2"/>
    <x v="2"/>
    <x v="2"/>
    <s v="Laptop"/>
    <n v="4"/>
    <n v="923.67"/>
    <n v="3694.68"/>
    <n v="701.82"/>
    <n v="2807.28"/>
    <n v="887.4"/>
    <n v="0.24018318230536881"/>
    <n v="155000"/>
  </r>
  <r>
    <s v="ORD-0119"/>
    <x v="101"/>
    <x v="0"/>
    <s v="Austin"/>
    <x v="2"/>
    <x v="0"/>
    <x v="0"/>
    <s v="Desk Organizer"/>
    <n v="5"/>
    <n v="30.12"/>
    <n v="150.6"/>
    <n v="14.56"/>
    <n v="72.8"/>
    <n v="77.8"/>
    <n v="0.51660026560424965"/>
    <n v="140000"/>
  </r>
  <r>
    <s v="ORD-0120"/>
    <x v="102"/>
    <x v="2"/>
    <s v="Los Angeles"/>
    <x v="1"/>
    <x v="2"/>
    <x v="2"/>
    <s v="Wireless Mouse"/>
    <n v="1"/>
    <n v="32.840000000000003"/>
    <n v="32.840000000000003"/>
    <n v="17.37"/>
    <n v="17.37"/>
    <n v="15.47"/>
    <n v="0.47107186358099873"/>
    <n v="155000"/>
  </r>
  <r>
    <s v="ORD-0121"/>
    <x v="60"/>
    <x v="0"/>
    <s v="Houston"/>
    <x v="0"/>
    <x v="2"/>
    <x v="1"/>
    <s v="Bookshelf"/>
    <n v="2"/>
    <n v="179.9"/>
    <n v="359.8"/>
    <n v="112.95"/>
    <n v="225.9"/>
    <n v="133.9"/>
    <n v="0.37215119510839356"/>
    <n v="140000"/>
  </r>
  <r>
    <s v="ORD-0122"/>
    <x v="103"/>
    <x v="0"/>
    <s v="Austin"/>
    <x v="0"/>
    <x v="1"/>
    <x v="0"/>
    <s v="Printer Paper"/>
    <n v="8"/>
    <n v="13.04"/>
    <n v="104.32"/>
    <n v="6.02"/>
    <n v="48.16"/>
    <n v="56.16"/>
    <n v="0.53834355828220859"/>
    <n v="140000"/>
  </r>
  <r>
    <s v="ORD-0123"/>
    <x v="22"/>
    <x v="1"/>
    <s v="Minneapolis"/>
    <x v="1"/>
    <x v="0"/>
    <x v="0"/>
    <s v="Desk Organizer"/>
    <n v="2"/>
    <n v="25.98"/>
    <n v="51.96"/>
    <n v="15.34"/>
    <n v="30.68"/>
    <n v="21.28"/>
    <n v="0.40954580446497307"/>
    <n v="135000"/>
  </r>
  <r>
    <s v="ORD-0124"/>
    <x v="96"/>
    <x v="3"/>
    <s v="Miami"/>
    <x v="2"/>
    <x v="2"/>
    <x v="1"/>
    <s v="Standing Desk"/>
    <n v="7"/>
    <n v="571.53"/>
    <n v="4000.71"/>
    <n v="442.98"/>
    <n v="3100.86"/>
    <n v="899.85"/>
    <n v="0.22492257624271692"/>
    <n v="165000"/>
  </r>
  <r>
    <s v="ORD-0125"/>
    <x v="104"/>
    <x v="2"/>
    <s v="Phoenix"/>
    <x v="0"/>
    <x v="0"/>
    <x v="2"/>
    <s v="Wireless Mouse"/>
    <n v="8"/>
    <n v="34.57"/>
    <n v="276.56"/>
    <n v="18.59"/>
    <n v="148.72"/>
    <n v="127.84"/>
    <n v="0.46225050621926528"/>
    <n v="155000"/>
  </r>
  <r>
    <s v="ORD-0126"/>
    <x v="105"/>
    <x v="1"/>
    <s v="Kansas City"/>
    <x v="0"/>
    <x v="0"/>
    <x v="0"/>
    <s v="Desk Organizer"/>
    <n v="8"/>
    <n v="25.61"/>
    <n v="204.88"/>
    <n v="15.65"/>
    <n v="125.2"/>
    <n v="79.680000000000007"/>
    <n v="0.38891058180398286"/>
    <n v="135000"/>
  </r>
  <r>
    <s v="ORD-0127"/>
    <x v="106"/>
    <x v="1"/>
    <s v="Chicago"/>
    <x v="0"/>
    <x v="0"/>
    <x v="0"/>
    <s v="Desk Organizer"/>
    <n v="1"/>
    <n v="28.81"/>
    <n v="28.81"/>
    <n v="15.24"/>
    <n v="15.24"/>
    <n v="13.57"/>
    <n v="0.47101700798333918"/>
    <n v="135000"/>
  </r>
  <r>
    <s v="ORD-0128"/>
    <x v="107"/>
    <x v="0"/>
    <s v="San Antonio"/>
    <x v="1"/>
    <x v="2"/>
    <x v="1"/>
    <s v="Office Chair"/>
    <n v="1"/>
    <n v="356.18"/>
    <n v="356.18"/>
    <n v="214.21"/>
    <n v="214.21"/>
    <n v="141.97"/>
    <n v="0.39859060025829635"/>
    <n v="140000"/>
  </r>
  <r>
    <s v="ORD-0129"/>
    <x v="108"/>
    <x v="0"/>
    <s v="Dallas"/>
    <x v="1"/>
    <x v="2"/>
    <x v="0"/>
    <s v="Ink Cartridge"/>
    <n v="6"/>
    <n v="45.61"/>
    <n v="273.66000000000003"/>
    <n v="23.92"/>
    <n v="143.52000000000001"/>
    <n v="130.13999999999999"/>
    <n v="0.47555360666520491"/>
    <n v="140000"/>
  </r>
  <r>
    <s v="ORD-0130"/>
    <x v="76"/>
    <x v="2"/>
    <s v="Phoenix"/>
    <x v="2"/>
    <x v="1"/>
    <x v="1"/>
    <s v="Bookshelf"/>
    <n v="1"/>
    <n v="186.12"/>
    <n v="186.12"/>
    <n v="117.97"/>
    <n v="117.97"/>
    <n v="68.150000000000006"/>
    <n v="0.36616161616161619"/>
    <n v="155000"/>
  </r>
  <r>
    <s v="ORD-0131"/>
    <x v="109"/>
    <x v="3"/>
    <s v="New York"/>
    <x v="1"/>
    <x v="2"/>
    <x v="2"/>
    <s v="Monitor"/>
    <n v="6"/>
    <n v="254.08"/>
    <n v="1524.48"/>
    <n v="176.07"/>
    <n v="1056.42"/>
    <n v="468.06"/>
    <n v="0.307029282115869"/>
    <n v="165000"/>
  </r>
  <r>
    <s v="ORD-0132"/>
    <x v="110"/>
    <x v="1"/>
    <s v="Chicago"/>
    <x v="1"/>
    <x v="2"/>
    <x v="0"/>
    <s v="Printer Paper"/>
    <n v="2"/>
    <n v="12.77"/>
    <n v="25.54"/>
    <n v="5.89"/>
    <n v="11.78"/>
    <n v="13.76"/>
    <n v="0.53876272513703993"/>
    <n v="135000"/>
  </r>
  <r>
    <s v="ORD-0133"/>
    <x v="111"/>
    <x v="1"/>
    <s v="Kansas City"/>
    <x v="1"/>
    <x v="0"/>
    <x v="2"/>
    <s v="Wireless Mouse"/>
    <n v="2"/>
    <n v="38.299999999999997"/>
    <n v="76.599999999999994"/>
    <n v="17.559999999999999"/>
    <n v="35.119999999999997"/>
    <n v="41.48"/>
    <n v="0.5415143603133159"/>
    <n v="135000"/>
  </r>
  <r>
    <s v="ORD-0134"/>
    <x v="112"/>
    <x v="0"/>
    <s v="Houston"/>
    <x v="1"/>
    <x v="2"/>
    <x v="1"/>
    <s v="Standing Desk"/>
    <n v="8"/>
    <n v="614.49"/>
    <n v="4915.92"/>
    <n v="422.07"/>
    <n v="3376.56"/>
    <n v="1539.36"/>
    <n v="0.31313772396621586"/>
    <n v="140000"/>
  </r>
  <r>
    <s v="ORD-0135"/>
    <x v="113"/>
    <x v="0"/>
    <s v="Austin"/>
    <x v="1"/>
    <x v="0"/>
    <x v="1"/>
    <s v="Standing Desk"/>
    <n v="5"/>
    <n v="564.19000000000005"/>
    <n v="2820.95"/>
    <n v="429.8"/>
    <n v="2149"/>
    <n v="671.95"/>
    <n v="0.23819989719775256"/>
    <n v="140000"/>
  </r>
  <r>
    <s v="ORD-0136"/>
    <x v="114"/>
    <x v="0"/>
    <s v="Houston"/>
    <x v="1"/>
    <x v="1"/>
    <x v="0"/>
    <s v="Desk Organizer"/>
    <n v="5"/>
    <n v="26.98"/>
    <n v="134.9"/>
    <n v="14.58"/>
    <n v="72.900000000000006"/>
    <n v="62"/>
    <n v="0.45959970348406226"/>
    <n v="140000"/>
  </r>
  <r>
    <s v="ORD-0137"/>
    <x v="115"/>
    <x v="1"/>
    <s v="Denver"/>
    <x v="1"/>
    <x v="2"/>
    <x v="2"/>
    <s v="Laptop"/>
    <n v="6"/>
    <n v="870.06"/>
    <n v="5220.3599999999997"/>
    <n v="753.25"/>
    <n v="4519.5"/>
    <n v="700.86"/>
    <n v="0.13425510884306829"/>
    <n v="135000"/>
  </r>
  <r>
    <s v="ORD-0138"/>
    <x v="116"/>
    <x v="1"/>
    <s v="Chicago"/>
    <x v="0"/>
    <x v="0"/>
    <x v="2"/>
    <s v="Wireless Mouse"/>
    <n v="7"/>
    <n v="35.92"/>
    <n v="251.44"/>
    <n v="18.559999999999999"/>
    <n v="129.91999999999999"/>
    <n v="121.52"/>
    <n v="0.48329621380846322"/>
    <n v="135000"/>
  </r>
  <r>
    <s v="ORD-0139"/>
    <x v="70"/>
    <x v="3"/>
    <s v="New York"/>
    <x v="1"/>
    <x v="1"/>
    <x v="0"/>
    <s v="Desk Organizer"/>
    <n v="8"/>
    <n v="30.33"/>
    <n v="242.64"/>
    <n v="15.78"/>
    <n v="126.24"/>
    <n v="116.4"/>
    <n v="0.47972304648862518"/>
    <n v="165000"/>
  </r>
  <r>
    <s v="ORD-0140"/>
    <x v="117"/>
    <x v="1"/>
    <s v="Chicago"/>
    <x v="1"/>
    <x v="2"/>
    <x v="1"/>
    <s v="Bookshelf"/>
    <n v="2"/>
    <n v="177.67"/>
    <n v="355.34"/>
    <n v="113.97"/>
    <n v="227.94"/>
    <n v="127.4"/>
    <n v="0.35852985872685322"/>
    <n v="135000"/>
  </r>
  <r>
    <s v="ORD-0141"/>
    <x v="86"/>
    <x v="2"/>
    <s v="Seattle"/>
    <x v="2"/>
    <x v="0"/>
    <x v="0"/>
    <s v="Ink Cartridge"/>
    <n v="4"/>
    <n v="46.17"/>
    <n v="184.68"/>
    <n v="23.88"/>
    <n v="95.52"/>
    <n v="89.16"/>
    <n v="0.48278102664067574"/>
    <n v="155000"/>
  </r>
  <r>
    <s v="ORD-0142"/>
    <x v="29"/>
    <x v="2"/>
    <s v="San Diego"/>
    <x v="1"/>
    <x v="0"/>
    <x v="0"/>
    <s v="Desk Organizer"/>
    <n v="3"/>
    <n v="29.88"/>
    <n v="89.64"/>
    <n v="15.38"/>
    <n v="46.14"/>
    <n v="43.5"/>
    <n v="0.48527443105756357"/>
    <n v="155000"/>
  </r>
  <r>
    <s v="ORD-0143"/>
    <x v="118"/>
    <x v="1"/>
    <s v="Minneapolis"/>
    <x v="2"/>
    <x v="2"/>
    <x v="1"/>
    <s v="Standing Desk"/>
    <n v="6"/>
    <n v="675.88"/>
    <n v="4055.28"/>
    <n v="439.77"/>
    <n v="2638.62"/>
    <n v="1416.66"/>
    <n v="0.34933716044268215"/>
    <n v="135000"/>
  </r>
  <r>
    <s v="ORD-0144"/>
    <x v="119"/>
    <x v="1"/>
    <s v="Chicago"/>
    <x v="0"/>
    <x v="2"/>
    <x v="2"/>
    <s v="Monitor"/>
    <n v="1"/>
    <n v="254.13"/>
    <n v="254.13"/>
    <n v="174.14"/>
    <n v="174.14"/>
    <n v="79.989999999999995"/>
    <n v="0.31476016212174868"/>
    <n v="135000"/>
  </r>
  <r>
    <s v="ORD-0145"/>
    <x v="7"/>
    <x v="1"/>
    <s v="Chicago"/>
    <x v="1"/>
    <x v="1"/>
    <x v="0"/>
    <s v="Ink Cartridge"/>
    <n v="2"/>
    <n v="43.48"/>
    <n v="86.96"/>
    <n v="24.26"/>
    <n v="48.52"/>
    <n v="38.44"/>
    <n v="0.4420423183072677"/>
    <n v="135000"/>
  </r>
  <r>
    <s v="ORD-0146"/>
    <x v="7"/>
    <x v="0"/>
    <s v="San Antonio"/>
    <x v="2"/>
    <x v="2"/>
    <x v="2"/>
    <s v="Laptop"/>
    <n v="6"/>
    <n v="981.45"/>
    <n v="5888.7"/>
    <n v="727.3"/>
    <n v="4363.8"/>
    <n v="1524.9"/>
    <n v="0.25895358907738553"/>
    <n v="140000"/>
  </r>
  <r>
    <s v="ORD-0147"/>
    <x v="120"/>
    <x v="1"/>
    <s v="Chicago"/>
    <x v="2"/>
    <x v="1"/>
    <x v="0"/>
    <s v="Ink Cartridge"/>
    <n v="3"/>
    <n v="38.159999999999997"/>
    <n v="114.48"/>
    <n v="24.74"/>
    <n v="74.22"/>
    <n v="40.26"/>
    <n v="0.35167714884696016"/>
    <n v="135000"/>
  </r>
  <r>
    <s v="ORD-0148"/>
    <x v="121"/>
    <x v="2"/>
    <s v="Seattle"/>
    <x v="1"/>
    <x v="0"/>
    <x v="1"/>
    <s v="Office Chair"/>
    <n v="6"/>
    <n v="335.79"/>
    <n v="2014.74"/>
    <n v="202.7"/>
    <n v="1216.2"/>
    <n v="798.54"/>
    <n v="0.39634890854403049"/>
    <n v="155000"/>
  </r>
  <r>
    <s v="ORD-0149"/>
    <x v="122"/>
    <x v="3"/>
    <s v="New York"/>
    <x v="1"/>
    <x v="2"/>
    <x v="1"/>
    <s v="Office Chair"/>
    <n v="5"/>
    <n v="305.74"/>
    <n v="1528.7"/>
    <n v="219.48"/>
    <n v="1097.4000000000001"/>
    <n v="431.3"/>
    <n v="0.28213514751095703"/>
    <n v="165000"/>
  </r>
  <r>
    <s v="ORD-0150"/>
    <x v="54"/>
    <x v="2"/>
    <s v="Seattle"/>
    <x v="1"/>
    <x v="2"/>
    <x v="2"/>
    <s v="Wireless Mouse"/>
    <n v="5"/>
    <n v="38.950000000000003"/>
    <n v="194.75"/>
    <n v="18.54"/>
    <n v="92.7"/>
    <n v="102.05"/>
    <n v="0.52400513478819"/>
    <n v="155000"/>
  </r>
  <r>
    <s v="ORD-0151"/>
    <x v="123"/>
    <x v="2"/>
    <s v="Los Angeles"/>
    <x v="1"/>
    <x v="0"/>
    <x v="2"/>
    <s v="Wireless Mouse"/>
    <n v="3"/>
    <n v="36.659999999999997"/>
    <n v="109.98"/>
    <n v="18.77"/>
    <n v="56.31"/>
    <n v="53.67"/>
    <n v="0.4879978177850518"/>
    <n v="155000"/>
  </r>
  <r>
    <s v="ORD-0152"/>
    <x v="59"/>
    <x v="0"/>
    <s v="San Antonio"/>
    <x v="0"/>
    <x v="0"/>
    <x v="2"/>
    <s v="Monitor"/>
    <n v="3"/>
    <n v="288.41000000000003"/>
    <n v="865.23"/>
    <n v="178.95"/>
    <n v="536.85"/>
    <n v="328.38"/>
    <n v="0.37952914254013381"/>
    <n v="140000"/>
  </r>
  <r>
    <s v="ORD-0153"/>
    <x v="124"/>
    <x v="2"/>
    <s v="San Diego"/>
    <x v="2"/>
    <x v="0"/>
    <x v="2"/>
    <s v="Monitor"/>
    <n v="2"/>
    <n v="263.04000000000002"/>
    <n v="526.08000000000004"/>
    <n v="182.52"/>
    <n v="365.04"/>
    <n v="161.04"/>
    <n v="0.30611313868613133"/>
    <n v="155000"/>
  </r>
  <r>
    <s v="ORD-0154"/>
    <x v="85"/>
    <x v="0"/>
    <s v="Austin"/>
    <x v="2"/>
    <x v="2"/>
    <x v="1"/>
    <s v="Office Chair"/>
    <n v="3"/>
    <n v="299.42"/>
    <n v="898.26"/>
    <n v="219.06"/>
    <n v="657.18"/>
    <n v="241.08"/>
    <n v="0.26838554538774967"/>
    <n v="140000"/>
  </r>
  <r>
    <s v="ORD-0155"/>
    <x v="125"/>
    <x v="2"/>
    <s v="Phoenix"/>
    <x v="1"/>
    <x v="0"/>
    <x v="2"/>
    <s v="Laptop"/>
    <n v="8"/>
    <n v="982.61"/>
    <n v="7860.88"/>
    <n v="745.37"/>
    <n v="5962.96"/>
    <n v="1897.92"/>
    <n v="0.24143861755935722"/>
    <n v="155000"/>
  </r>
  <r>
    <s v="ORD-0156"/>
    <x v="126"/>
    <x v="2"/>
    <s v="San Diego"/>
    <x v="1"/>
    <x v="1"/>
    <x v="1"/>
    <s v="Standing Desk"/>
    <n v="4"/>
    <n v="608.16999999999996"/>
    <n v="2432.6799999999998"/>
    <n v="453.53"/>
    <n v="1814.12"/>
    <n v="618.55999999999995"/>
    <n v="0.25427100975056316"/>
    <n v="155000"/>
  </r>
  <r>
    <s v="ORD-0157"/>
    <x v="69"/>
    <x v="1"/>
    <s v="Kansas City"/>
    <x v="2"/>
    <x v="2"/>
    <x v="1"/>
    <s v="Office Chair"/>
    <n v="3"/>
    <n v="345.51"/>
    <n v="1036.53"/>
    <n v="218.43"/>
    <n v="655.29"/>
    <n v="381.24"/>
    <n v="0.36780411565511856"/>
    <n v="135000"/>
  </r>
  <r>
    <s v="ORD-0158"/>
    <x v="127"/>
    <x v="3"/>
    <s v="New York"/>
    <x v="0"/>
    <x v="1"/>
    <x v="1"/>
    <s v="Bookshelf"/>
    <n v="2"/>
    <n v="190.17"/>
    <n v="380.34"/>
    <n v="116.33"/>
    <n v="232.66"/>
    <n v="147.68"/>
    <n v="0.38828416679812805"/>
    <n v="165000"/>
  </r>
  <r>
    <s v="ORD-0159"/>
    <x v="128"/>
    <x v="3"/>
    <s v="New York"/>
    <x v="2"/>
    <x v="0"/>
    <x v="1"/>
    <s v="Bookshelf"/>
    <n v="3"/>
    <n v="194.91"/>
    <n v="584.73"/>
    <n v="111.45"/>
    <n v="334.35"/>
    <n v="250.38"/>
    <n v="0.42819762967523473"/>
    <n v="165000"/>
  </r>
  <r>
    <s v="ORD-0160"/>
    <x v="129"/>
    <x v="1"/>
    <s v="Kansas City"/>
    <x v="2"/>
    <x v="0"/>
    <x v="1"/>
    <s v="Office Chair"/>
    <n v="6"/>
    <n v="304.60000000000002"/>
    <n v="1827.6"/>
    <n v="222.49"/>
    <n v="1334.94"/>
    <n v="492.66"/>
    <n v="0.26956664478003944"/>
    <n v="135000"/>
  </r>
  <r>
    <s v="ORD-0161"/>
    <x v="130"/>
    <x v="2"/>
    <s v="Los Angeles"/>
    <x v="1"/>
    <x v="0"/>
    <x v="2"/>
    <s v="Wireless Mouse"/>
    <n v="3"/>
    <n v="32.56"/>
    <n v="97.68"/>
    <n v="17.8"/>
    <n v="53.4"/>
    <n v="44.28"/>
    <n v="0.45331695331695332"/>
    <n v="155000"/>
  </r>
  <r>
    <s v="ORD-0162"/>
    <x v="81"/>
    <x v="2"/>
    <s v="Phoenix"/>
    <x v="1"/>
    <x v="0"/>
    <x v="0"/>
    <s v="Ink Cartridge"/>
    <n v="1"/>
    <n v="40.159999999999997"/>
    <n v="40.159999999999997"/>
    <n v="25.04"/>
    <n v="25.04"/>
    <n v="15.12"/>
    <n v="0.37649402390438247"/>
    <n v="155000"/>
  </r>
  <r>
    <s v="ORD-0163"/>
    <x v="44"/>
    <x v="1"/>
    <s v="Chicago"/>
    <x v="2"/>
    <x v="0"/>
    <x v="0"/>
    <s v="Ink Cartridge"/>
    <n v="1"/>
    <n v="40"/>
    <n v="40"/>
    <n v="24.57"/>
    <n v="24.57"/>
    <n v="15.43"/>
    <n v="0.38574999999999998"/>
    <n v="135000"/>
  </r>
  <r>
    <s v="ORD-0164"/>
    <x v="131"/>
    <x v="1"/>
    <s v="Chicago"/>
    <x v="1"/>
    <x v="1"/>
    <x v="1"/>
    <s v="Bookshelf"/>
    <n v="1"/>
    <n v="187.03"/>
    <n v="187.03"/>
    <n v="117.01"/>
    <n v="117.01"/>
    <n v="70.02"/>
    <n v="0.3743784419611827"/>
    <n v="135000"/>
  </r>
  <r>
    <s v="ORD-0165"/>
    <x v="110"/>
    <x v="3"/>
    <s v="Miami"/>
    <x v="1"/>
    <x v="0"/>
    <x v="1"/>
    <s v="Office Chair"/>
    <n v="3"/>
    <n v="334.77"/>
    <n v="1004.31"/>
    <n v="203.4"/>
    <n v="610.20000000000005"/>
    <n v="394.11"/>
    <n v="0.39241867550855813"/>
    <n v="165000"/>
  </r>
  <r>
    <s v="ORD-0166"/>
    <x v="132"/>
    <x v="0"/>
    <s v="Houston"/>
    <x v="1"/>
    <x v="2"/>
    <x v="1"/>
    <s v="Office Chair"/>
    <n v="6"/>
    <n v="305.86"/>
    <n v="1835.16"/>
    <n v="201.94"/>
    <n v="1211.6400000000001"/>
    <n v="623.52"/>
    <n v="0.33976329039429803"/>
    <n v="140000"/>
  </r>
  <r>
    <s v="ORD-0167"/>
    <x v="133"/>
    <x v="3"/>
    <s v="Boston"/>
    <x v="0"/>
    <x v="2"/>
    <x v="2"/>
    <s v="Wireless Mouse"/>
    <n v="3"/>
    <n v="31.84"/>
    <n v="95.52"/>
    <n v="18.260000000000002"/>
    <n v="54.78"/>
    <n v="40.74"/>
    <n v="0.42650753768844224"/>
    <n v="165000"/>
  </r>
  <r>
    <s v="ORD-0168"/>
    <x v="134"/>
    <x v="2"/>
    <s v="Phoenix"/>
    <x v="2"/>
    <x v="2"/>
    <x v="0"/>
    <s v="Desk Organizer"/>
    <n v="3"/>
    <n v="25.59"/>
    <n v="76.77"/>
    <n v="15.56"/>
    <n v="46.68"/>
    <n v="30.09"/>
    <n v="0.39194998046111762"/>
    <n v="155000"/>
  </r>
  <r>
    <s v="ORD-0169"/>
    <x v="135"/>
    <x v="0"/>
    <s v="Austin"/>
    <x v="1"/>
    <x v="2"/>
    <x v="0"/>
    <s v="Printer Paper"/>
    <n v="6"/>
    <n v="13.26"/>
    <n v="79.56"/>
    <n v="6.07"/>
    <n v="36.42"/>
    <n v="43.14"/>
    <n v="0.54223227752639513"/>
    <n v="140000"/>
  </r>
  <r>
    <s v="ORD-0170"/>
    <x v="136"/>
    <x v="1"/>
    <s v="Kansas City"/>
    <x v="1"/>
    <x v="2"/>
    <x v="2"/>
    <s v="Monitor"/>
    <n v="6"/>
    <n v="283.31"/>
    <n v="1699.86"/>
    <n v="173.66"/>
    <n v="1041.96"/>
    <n v="657.9"/>
    <n v="0.38703187321308813"/>
    <n v="135000"/>
  </r>
  <r>
    <s v="ORD-0171"/>
    <x v="104"/>
    <x v="3"/>
    <s v="Philadelphia"/>
    <x v="1"/>
    <x v="0"/>
    <x v="1"/>
    <s v="Office Chair"/>
    <n v="8"/>
    <n v="350.98"/>
    <n v="2807.84"/>
    <n v="209.72"/>
    <n v="1677.76"/>
    <n v="1130.08"/>
    <n v="0.40247307538891103"/>
    <n v="165000"/>
  </r>
  <r>
    <s v="ORD-0172"/>
    <x v="27"/>
    <x v="1"/>
    <s v="Minneapolis"/>
    <x v="1"/>
    <x v="2"/>
    <x v="2"/>
    <s v="Monitor"/>
    <n v="2"/>
    <n v="275.58999999999997"/>
    <n v="551.17999999999995"/>
    <n v="174.22"/>
    <n v="348.44"/>
    <n v="202.74"/>
    <n v="0.36782902137232854"/>
    <n v="135000"/>
  </r>
  <r>
    <s v="ORD-0173"/>
    <x v="54"/>
    <x v="2"/>
    <s v="Seattle"/>
    <x v="1"/>
    <x v="0"/>
    <x v="2"/>
    <s v="Monitor"/>
    <n v="5"/>
    <n v="259.51"/>
    <n v="1297.55"/>
    <n v="185.72"/>
    <n v="928.6"/>
    <n v="368.95"/>
    <n v="0.28434357057531501"/>
    <n v="155000"/>
  </r>
  <r>
    <s v="ORD-0174"/>
    <x v="24"/>
    <x v="1"/>
    <s v="Kansas City"/>
    <x v="1"/>
    <x v="2"/>
    <x v="2"/>
    <s v="Wireless Mouse"/>
    <n v="7"/>
    <n v="33.61"/>
    <n v="235.27"/>
    <n v="19.04"/>
    <n v="133.28"/>
    <n v="101.99"/>
    <n v="0.43350193394822967"/>
    <n v="135000"/>
  </r>
  <r>
    <s v="ORD-0175"/>
    <x v="26"/>
    <x v="0"/>
    <s v="San Antonio"/>
    <x v="1"/>
    <x v="1"/>
    <x v="0"/>
    <s v="Desk Organizer"/>
    <n v="1"/>
    <n v="26.08"/>
    <n v="26.08"/>
    <n v="15.31"/>
    <n v="15.31"/>
    <n v="10.77"/>
    <n v="0.41296012269938653"/>
    <n v="140000"/>
  </r>
  <r>
    <s v="ORD-0176"/>
    <x v="121"/>
    <x v="0"/>
    <s v="Dallas"/>
    <x v="1"/>
    <x v="2"/>
    <x v="2"/>
    <s v="Wireless Mouse"/>
    <n v="6"/>
    <n v="34.450000000000003"/>
    <n v="206.7"/>
    <n v="18.3"/>
    <n v="109.8"/>
    <n v="96.9"/>
    <n v="0.46879535558780849"/>
    <n v="140000"/>
  </r>
  <r>
    <s v="ORD-0177"/>
    <x v="137"/>
    <x v="2"/>
    <s v="Phoenix"/>
    <x v="2"/>
    <x v="0"/>
    <x v="0"/>
    <s v="Ink Cartridge"/>
    <n v="3"/>
    <n v="42.69"/>
    <n v="128.07"/>
    <n v="24"/>
    <n v="72"/>
    <n v="56.07"/>
    <n v="0.43780744905130009"/>
    <n v="155000"/>
  </r>
  <r>
    <s v="ORD-0178"/>
    <x v="138"/>
    <x v="3"/>
    <s v="Boston"/>
    <x v="2"/>
    <x v="0"/>
    <x v="0"/>
    <s v="Desk Organizer"/>
    <n v="8"/>
    <n v="28.39"/>
    <n v="227.12"/>
    <n v="15.77"/>
    <n v="126.16"/>
    <n v="100.96"/>
    <n v="0.4445227192673476"/>
    <n v="165000"/>
  </r>
  <r>
    <s v="ORD-0179"/>
    <x v="139"/>
    <x v="3"/>
    <s v="Philadelphia"/>
    <x v="0"/>
    <x v="0"/>
    <x v="2"/>
    <s v="Monitor"/>
    <n v="8"/>
    <n v="245.45"/>
    <n v="1963.6"/>
    <n v="175.24"/>
    <n v="1401.92"/>
    <n v="561.67999999999995"/>
    <n v="0.28604603788959054"/>
    <n v="165000"/>
  </r>
  <r>
    <s v="ORD-0180"/>
    <x v="47"/>
    <x v="1"/>
    <s v="Denver"/>
    <x v="2"/>
    <x v="0"/>
    <x v="0"/>
    <s v="Ink Cartridge"/>
    <n v="6"/>
    <n v="43.97"/>
    <n v="263.82"/>
    <n v="24.74"/>
    <n v="148.44"/>
    <n v="115.38"/>
    <n v="0.43734364339322263"/>
    <n v="135000"/>
  </r>
  <r>
    <s v="ORD-0181"/>
    <x v="79"/>
    <x v="3"/>
    <s v="Philadelphia"/>
    <x v="2"/>
    <x v="2"/>
    <x v="0"/>
    <s v="Desk Organizer"/>
    <n v="6"/>
    <n v="28.33"/>
    <n v="169.98"/>
    <n v="14.58"/>
    <n v="87.48"/>
    <n v="82.5"/>
    <n v="0.4853512177903283"/>
    <n v="165000"/>
  </r>
  <r>
    <s v="ORD-0182"/>
    <x v="94"/>
    <x v="2"/>
    <s v="San Diego"/>
    <x v="2"/>
    <x v="0"/>
    <x v="1"/>
    <s v="Bookshelf"/>
    <n v="6"/>
    <n v="180.51"/>
    <n v="1083.06"/>
    <n v="121.7"/>
    <n v="730.2"/>
    <n v="352.86"/>
    <n v="0.3257991247022326"/>
    <n v="155000"/>
  </r>
  <r>
    <s v="ORD-0183"/>
    <x v="140"/>
    <x v="0"/>
    <s v="Houston"/>
    <x v="1"/>
    <x v="1"/>
    <x v="1"/>
    <s v="Standing Desk"/>
    <n v="7"/>
    <n v="662.91"/>
    <n v="4640.37"/>
    <n v="448.2"/>
    <n v="3137.4"/>
    <n v="1502.97"/>
    <n v="0.32389012083088203"/>
    <n v="140000"/>
  </r>
  <r>
    <s v="ORD-0184"/>
    <x v="47"/>
    <x v="2"/>
    <s v="Seattle"/>
    <x v="0"/>
    <x v="0"/>
    <x v="1"/>
    <s v="Bookshelf"/>
    <n v="6"/>
    <n v="167.08"/>
    <n v="1002.48"/>
    <n v="119.93"/>
    <n v="719.58"/>
    <n v="282.89999999999998"/>
    <n v="0.28220014364376345"/>
    <n v="155000"/>
  </r>
  <r>
    <s v="ORD-0185"/>
    <x v="141"/>
    <x v="2"/>
    <s v="San Diego"/>
    <x v="1"/>
    <x v="1"/>
    <x v="0"/>
    <s v="Printer Paper"/>
    <n v="2"/>
    <n v="12.17"/>
    <n v="24.34"/>
    <n v="5.94"/>
    <n v="11.88"/>
    <n v="12.46"/>
    <n v="0.5119145439605588"/>
    <n v="155000"/>
  </r>
  <r>
    <s v="ORD-0186"/>
    <x v="142"/>
    <x v="3"/>
    <s v="Boston"/>
    <x v="1"/>
    <x v="1"/>
    <x v="2"/>
    <s v="Monitor"/>
    <n v="2"/>
    <n v="248.33"/>
    <n v="496.66"/>
    <n v="184.23"/>
    <n v="368.46"/>
    <n v="128.19999999999999"/>
    <n v="0.25812427012443118"/>
    <n v="165000"/>
  </r>
  <r>
    <s v="ORD-0187"/>
    <x v="141"/>
    <x v="3"/>
    <s v="Boston"/>
    <x v="0"/>
    <x v="2"/>
    <x v="0"/>
    <s v="Ink Cartridge"/>
    <n v="3"/>
    <n v="43.27"/>
    <n v="129.81"/>
    <n v="24.43"/>
    <n v="73.290000000000006"/>
    <n v="56.52"/>
    <n v="0.43540559278946156"/>
    <n v="165000"/>
  </r>
  <r>
    <s v="ORD-0188"/>
    <x v="143"/>
    <x v="3"/>
    <s v="New York"/>
    <x v="2"/>
    <x v="0"/>
    <x v="0"/>
    <s v="Printer Paper"/>
    <n v="5"/>
    <n v="12.52"/>
    <n v="62.6"/>
    <n v="6.22"/>
    <n v="31.1"/>
    <n v="31.5"/>
    <n v="0.50319488817891378"/>
    <n v="165000"/>
  </r>
  <r>
    <s v="ORD-0189"/>
    <x v="70"/>
    <x v="0"/>
    <s v="San Antonio"/>
    <x v="2"/>
    <x v="2"/>
    <x v="2"/>
    <s v="Monitor"/>
    <n v="8"/>
    <n v="248.01"/>
    <n v="1984.08"/>
    <n v="187.33"/>
    <n v="1498.64"/>
    <n v="485.44"/>
    <n v="0.24466755372767227"/>
    <n v="140000"/>
  </r>
  <r>
    <s v="ORD-0190"/>
    <x v="55"/>
    <x v="3"/>
    <s v="Miami"/>
    <x v="1"/>
    <x v="0"/>
    <x v="1"/>
    <s v="Standing Desk"/>
    <n v="7"/>
    <n v="624.04999999999995"/>
    <n v="4368.3500000000004"/>
    <n v="421.57"/>
    <n v="2950.99"/>
    <n v="1417.36"/>
    <n v="0.32446118099511251"/>
    <n v="165000"/>
  </r>
  <r>
    <s v="ORD-0191"/>
    <x v="144"/>
    <x v="2"/>
    <s v="Seattle"/>
    <x v="2"/>
    <x v="0"/>
    <x v="2"/>
    <s v="Wireless Mouse"/>
    <n v="7"/>
    <n v="32.51"/>
    <n v="227.57"/>
    <n v="17.95"/>
    <n v="125.65"/>
    <n v="101.92"/>
    <n v="0.44786219624730855"/>
    <n v="155000"/>
  </r>
  <r>
    <s v="ORD-0192"/>
    <x v="10"/>
    <x v="0"/>
    <s v="Austin"/>
    <x v="1"/>
    <x v="0"/>
    <x v="1"/>
    <s v="Standing Desk"/>
    <n v="4"/>
    <n v="577.22"/>
    <n v="2308.88"/>
    <n v="414.98"/>
    <n v="1659.92"/>
    <n v="648.96"/>
    <n v="0.28107134194934341"/>
    <n v="140000"/>
  </r>
  <r>
    <s v="ORD-0193"/>
    <x v="145"/>
    <x v="1"/>
    <s v="Denver"/>
    <x v="2"/>
    <x v="1"/>
    <x v="2"/>
    <s v="Wireless Mouse"/>
    <n v="6"/>
    <n v="32.96"/>
    <n v="197.76"/>
    <n v="17.57"/>
    <n v="105.42"/>
    <n v="92.34"/>
    <n v="0.46692961165048547"/>
    <n v="135000"/>
  </r>
  <r>
    <s v="ORD-0194"/>
    <x v="146"/>
    <x v="1"/>
    <s v="Minneapolis"/>
    <x v="2"/>
    <x v="2"/>
    <x v="0"/>
    <s v="Ink Cartridge"/>
    <n v="7"/>
    <n v="42.47"/>
    <n v="297.29000000000002"/>
    <n v="25.36"/>
    <n v="177.52"/>
    <n v="119.77"/>
    <n v="0.40287261596420998"/>
    <n v="135000"/>
  </r>
  <r>
    <s v="ORD-0195"/>
    <x v="147"/>
    <x v="3"/>
    <s v="New York"/>
    <x v="1"/>
    <x v="2"/>
    <x v="1"/>
    <s v="Standing Desk"/>
    <n v="5"/>
    <n v="631.20000000000005"/>
    <n v="3156"/>
    <n v="449.23"/>
    <n v="2246.15"/>
    <n v="909.85"/>
    <n v="0.28829214195183778"/>
    <n v="165000"/>
  </r>
  <r>
    <s v="ORD-0196"/>
    <x v="148"/>
    <x v="2"/>
    <s v="Seattle"/>
    <x v="0"/>
    <x v="2"/>
    <x v="2"/>
    <s v="Wireless Mouse"/>
    <n v="1"/>
    <n v="34.58"/>
    <n v="34.58"/>
    <n v="18.309999999999999"/>
    <n v="18.309999999999999"/>
    <n v="16.27"/>
    <n v="0.47050318102949684"/>
    <n v="155000"/>
  </r>
  <r>
    <s v="ORD-0197"/>
    <x v="149"/>
    <x v="3"/>
    <s v="Philadelphia"/>
    <x v="1"/>
    <x v="2"/>
    <x v="1"/>
    <s v="Bookshelf"/>
    <n v="5"/>
    <n v="194.68"/>
    <n v="973.4"/>
    <n v="117.57"/>
    <n v="587.85"/>
    <n v="385.55"/>
    <n v="0.396085884528457"/>
    <n v="165000"/>
  </r>
  <r>
    <s v="ORD-0198"/>
    <x v="150"/>
    <x v="0"/>
    <s v="Dallas"/>
    <x v="2"/>
    <x v="0"/>
    <x v="2"/>
    <s v="Wireless Mouse"/>
    <n v="6"/>
    <n v="37.31"/>
    <n v="223.86"/>
    <n v="17.64"/>
    <n v="105.84"/>
    <n v="118.02"/>
    <n v="0.5272045028142589"/>
    <n v="140000"/>
  </r>
  <r>
    <s v="ORD-0199"/>
    <x v="151"/>
    <x v="1"/>
    <s v="Chicago"/>
    <x v="1"/>
    <x v="0"/>
    <x v="2"/>
    <s v="Wireless Mouse"/>
    <n v="8"/>
    <n v="35.5"/>
    <n v="284"/>
    <n v="17.55"/>
    <n v="140.4"/>
    <n v="143.6"/>
    <n v="0.5056338028169014"/>
    <n v="135000"/>
  </r>
  <r>
    <s v="ORD-0200"/>
    <x v="146"/>
    <x v="2"/>
    <s v="Seattle"/>
    <x v="2"/>
    <x v="0"/>
    <x v="1"/>
    <s v="Office Chair"/>
    <n v="5"/>
    <n v="329.8"/>
    <n v="1649"/>
    <n v="212.25"/>
    <n v="1061.25"/>
    <n v="587.75"/>
    <n v="0.35642813826561554"/>
    <n v="155000"/>
  </r>
  <r>
    <s v="ORD-0201"/>
    <x v="151"/>
    <x v="1"/>
    <s v="Kansas City"/>
    <x v="0"/>
    <x v="0"/>
    <x v="2"/>
    <s v="Wireless Mouse"/>
    <n v="2"/>
    <n v="39.049999999999997"/>
    <n v="78.099999999999994"/>
    <n v="18.329999999999998"/>
    <n v="36.659999999999997"/>
    <n v="41.44"/>
    <n v="0.53060179257362361"/>
    <n v="135000"/>
  </r>
  <r>
    <s v="ORD-0202"/>
    <x v="48"/>
    <x v="0"/>
    <s v="San Antonio"/>
    <x v="1"/>
    <x v="2"/>
    <x v="2"/>
    <s v="Laptop"/>
    <n v="1"/>
    <n v="976.96"/>
    <n v="976.96"/>
    <n v="703.48"/>
    <n v="703.48"/>
    <n v="273.48"/>
    <n v="0.27992957746478875"/>
    <n v="140000"/>
  </r>
  <r>
    <s v="ORD-0203"/>
    <x v="152"/>
    <x v="1"/>
    <s v="Denver"/>
    <x v="2"/>
    <x v="0"/>
    <x v="0"/>
    <s v="Ink Cartridge"/>
    <n v="4"/>
    <n v="37.97"/>
    <n v="151.88"/>
    <n v="23.79"/>
    <n v="95.16"/>
    <n v="56.72"/>
    <n v="0.37345272583618649"/>
    <n v="135000"/>
  </r>
  <r>
    <s v="ORD-0204"/>
    <x v="119"/>
    <x v="1"/>
    <s v="Denver"/>
    <x v="1"/>
    <x v="2"/>
    <x v="1"/>
    <s v="Standing Desk"/>
    <n v="1"/>
    <n v="654.27"/>
    <n v="654.27"/>
    <n v="435.1"/>
    <n v="435.1"/>
    <n v="219.17"/>
    <n v="0.33498402800067251"/>
    <n v="135000"/>
  </r>
  <r>
    <s v="ORD-0205"/>
    <x v="10"/>
    <x v="3"/>
    <s v="Miami"/>
    <x v="0"/>
    <x v="0"/>
    <x v="0"/>
    <s v="Desk Organizer"/>
    <n v="8"/>
    <n v="30.82"/>
    <n v="246.56"/>
    <n v="14.91"/>
    <n v="119.28"/>
    <n v="127.28"/>
    <n v="0.51622323166774819"/>
    <n v="165000"/>
  </r>
  <r>
    <s v="ORD-0206"/>
    <x v="21"/>
    <x v="3"/>
    <s v="Miami"/>
    <x v="1"/>
    <x v="0"/>
    <x v="1"/>
    <s v="Bookshelf"/>
    <n v="5"/>
    <n v="170.9"/>
    <n v="854.5"/>
    <n v="121.59"/>
    <n v="607.95000000000005"/>
    <n v="246.55"/>
    <n v="0.2885313048566413"/>
    <n v="165000"/>
  </r>
  <r>
    <s v="ORD-0207"/>
    <x v="153"/>
    <x v="3"/>
    <s v="Boston"/>
    <x v="0"/>
    <x v="2"/>
    <x v="1"/>
    <s v="Standing Desk"/>
    <n v="6"/>
    <n v="634.45000000000005"/>
    <n v="3806.7"/>
    <n v="452.98"/>
    <n v="2717.88"/>
    <n v="1088.82"/>
    <n v="0.28602726771219167"/>
    <n v="165000"/>
  </r>
  <r>
    <s v="ORD-0208"/>
    <x v="154"/>
    <x v="3"/>
    <s v="New York"/>
    <x v="0"/>
    <x v="2"/>
    <x v="1"/>
    <s v="Office Chair"/>
    <n v="6"/>
    <n v="355.2"/>
    <n v="2131.1999999999998"/>
    <n v="218.5"/>
    <n v="1311"/>
    <n v="820.2"/>
    <n v="0.38485360360360366"/>
    <n v="165000"/>
  </r>
  <r>
    <s v="ORD-0209"/>
    <x v="155"/>
    <x v="0"/>
    <s v="Austin"/>
    <x v="2"/>
    <x v="0"/>
    <x v="1"/>
    <s v="Standing Desk"/>
    <n v="5"/>
    <n v="659.94"/>
    <n v="3299.7"/>
    <n v="422"/>
    <n v="2110"/>
    <n v="1189.7"/>
    <n v="0.36054792859956969"/>
    <n v="140000"/>
  </r>
  <r>
    <s v="ORD-0210"/>
    <x v="156"/>
    <x v="3"/>
    <s v="Philadelphia"/>
    <x v="1"/>
    <x v="2"/>
    <x v="2"/>
    <s v="Laptop"/>
    <n v="4"/>
    <n v="865.61"/>
    <n v="3462.44"/>
    <n v="756.37"/>
    <n v="3025.48"/>
    <n v="436.96"/>
    <n v="0.12620002079458414"/>
    <n v="165000"/>
  </r>
  <r>
    <s v="ORD-0211"/>
    <x v="157"/>
    <x v="2"/>
    <s v="Los Angeles"/>
    <x v="1"/>
    <x v="0"/>
    <x v="1"/>
    <s v="Standing Desk"/>
    <n v="2"/>
    <n v="650.91"/>
    <n v="1301.82"/>
    <n v="418.71"/>
    <n v="837.42"/>
    <n v="464.4"/>
    <n v="0.35673134534728301"/>
    <n v="155000"/>
  </r>
  <r>
    <s v="ORD-0212"/>
    <x v="79"/>
    <x v="2"/>
    <s v="Phoenix"/>
    <x v="0"/>
    <x v="1"/>
    <x v="1"/>
    <s v="Standing Desk"/>
    <n v="8"/>
    <n v="646.73"/>
    <n v="5173.84"/>
    <n v="445.3"/>
    <n v="3562.4"/>
    <n v="1611.44"/>
    <n v="0.3114591869868415"/>
    <n v="155000"/>
  </r>
  <r>
    <s v="ORD-0213"/>
    <x v="158"/>
    <x v="3"/>
    <s v="Philadelphia"/>
    <x v="0"/>
    <x v="1"/>
    <x v="0"/>
    <s v="Ink Cartridge"/>
    <n v="4"/>
    <n v="42.74"/>
    <n v="170.96"/>
    <n v="24.78"/>
    <n v="99.12"/>
    <n v="71.84"/>
    <n v="0.42021525503041646"/>
    <n v="165000"/>
  </r>
  <r>
    <s v="ORD-0214"/>
    <x v="40"/>
    <x v="2"/>
    <s v="Phoenix"/>
    <x v="2"/>
    <x v="0"/>
    <x v="0"/>
    <s v="Printer Paper"/>
    <n v="7"/>
    <n v="12.88"/>
    <n v="90.16"/>
    <n v="5.87"/>
    <n v="41.09"/>
    <n v="49.07"/>
    <n v="0.54425465838509324"/>
    <n v="155000"/>
  </r>
  <r>
    <s v="ORD-0215"/>
    <x v="155"/>
    <x v="0"/>
    <s v="Houston"/>
    <x v="1"/>
    <x v="2"/>
    <x v="2"/>
    <s v="Wireless Mouse"/>
    <n v="5"/>
    <n v="35"/>
    <n v="175"/>
    <n v="18.43"/>
    <n v="92.15"/>
    <n v="82.85"/>
    <n v="0.47342857142857142"/>
    <n v="140000"/>
  </r>
  <r>
    <s v="ORD-0216"/>
    <x v="159"/>
    <x v="1"/>
    <s v="Denver"/>
    <x v="2"/>
    <x v="2"/>
    <x v="2"/>
    <s v="Laptop"/>
    <n v="2"/>
    <n v="924.11"/>
    <n v="1848.22"/>
    <n v="743.84"/>
    <n v="1487.68"/>
    <n v="360.54"/>
    <n v="0.19507417948079775"/>
    <n v="135000"/>
  </r>
  <r>
    <s v="ORD-0217"/>
    <x v="160"/>
    <x v="3"/>
    <s v="Boston"/>
    <x v="1"/>
    <x v="0"/>
    <x v="2"/>
    <s v="Monitor"/>
    <n v="4"/>
    <n v="244.04"/>
    <n v="976.16"/>
    <n v="188.21"/>
    <n v="752.84"/>
    <n v="223.32"/>
    <n v="0.22877397148008524"/>
    <n v="165000"/>
  </r>
  <r>
    <s v="ORD-0218"/>
    <x v="55"/>
    <x v="1"/>
    <s v="Kansas City"/>
    <x v="1"/>
    <x v="2"/>
    <x v="0"/>
    <s v="Desk Organizer"/>
    <n v="3"/>
    <n v="28.14"/>
    <n v="84.42"/>
    <n v="15.8"/>
    <n v="47.4"/>
    <n v="37.020000000000003"/>
    <n v="0.43852167732764752"/>
    <n v="135000"/>
  </r>
  <r>
    <s v="ORD-0219"/>
    <x v="161"/>
    <x v="3"/>
    <s v="Miami"/>
    <x v="1"/>
    <x v="2"/>
    <x v="2"/>
    <s v="Wireless Mouse"/>
    <n v="5"/>
    <n v="35.979999999999997"/>
    <n v="179.9"/>
    <n v="18.309999999999999"/>
    <n v="91.55"/>
    <n v="88.35"/>
    <n v="0.49110617009449692"/>
    <n v="165000"/>
  </r>
  <r>
    <s v="ORD-0220"/>
    <x v="162"/>
    <x v="3"/>
    <s v="Boston"/>
    <x v="1"/>
    <x v="0"/>
    <x v="2"/>
    <s v="Monitor"/>
    <n v="3"/>
    <n v="257.19"/>
    <n v="771.57"/>
    <n v="181.85"/>
    <n v="545.54999999999995"/>
    <n v="226.02"/>
    <n v="0.29293518410513625"/>
    <n v="165000"/>
  </r>
  <r>
    <s v="ORD-0221"/>
    <x v="163"/>
    <x v="3"/>
    <s v="New York"/>
    <x v="0"/>
    <x v="1"/>
    <x v="2"/>
    <s v="Wireless Mouse"/>
    <n v="4"/>
    <n v="33.19"/>
    <n v="132.76"/>
    <n v="17.52"/>
    <n v="70.08"/>
    <n v="62.68"/>
    <n v="0.47213015968665262"/>
    <n v="165000"/>
  </r>
  <r>
    <s v="ORD-0222"/>
    <x v="164"/>
    <x v="1"/>
    <s v="Kansas City"/>
    <x v="1"/>
    <x v="2"/>
    <x v="1"/>
    <s v="Standing Desk"/>
    <n v="4"/>
    <n v="661.92"/>
    <n v="2647.68"/>
    <n v="442.05"/>
    <n v="1768.2"/>
    <n v="879.48"/>
    <n v="0.33217005076142136"/>
    <n v="135000"/>
  </r>
  <r>
    <s v="ORD-0223"/>
    <x v="101"/>
    <x v="0"/>
    <s v="San Antonio"/>
    <x v="0"/>
    <x v="0"/>
    <x v="0"/>
    <s v="Ink Cartridge"/>
    <n v="1"/>
    <n v="45.46"/>
    <n v="45.46"/>
    <n v="25.21"/>
    <n v="25.21"/>
    <n v="20.25"/>
    <n v="0.44544654641443027"/>
    <n v="140000"/>
  </r>
  <r>
    <s v="ORD-0224"/>
    <x v="165"/>
    <x v="2"/>
    <s v="San Diego"/>
    <x v="1"/>
    <x v="2"/>
    <x v="0"/>
    <s v="Ink Cartridge"/>
    <n v="4"/>
    <n v="44.42"/>
    <n v="177.68"/>
    <n v="24.21"/>
    <n v="96.84"/>
    <n v="80.84"/>
    <n v="0.45497523638000903"/>
    <n v="155000"/>
  </r>
  <r>
    <s v="ORD-0225"/>
    <x v="45"/>
    <x v="1"/>
    <s v="Chicago"/>
    <x v="0"/>
    <x v="2"/>
    <x v="1"/>
    <s v="Standing Desk"/>
    <n v="1"/>
    <n v="634.22"/>
    <n v="634.22"/>
    <n v="441.73"/>
    <n v="441.73"/>
    <n v="192.49"/>
    <n v="0.30350666960991451"/>
    <n v="135000"/>
  </r>
  <r>
    <s v="ORD-0226"/>
    <x v="166"/>
    <x v="0"/>
    <s v="San Antonio"/>
    <x v="1"/>
    <x v="0"/>
    <x v="2"/>
    <s v="Laptop"/>
    <n v="2"/>
    <n v="864.47"/>
    <n v="1728.94"/>
    <n v="716.01"/>
    <n v="1432.02"/>
    <n v="296.92"/>
    <n v="0.17173528289009451"/>
    <n v="140000"/>
  </r>
  <r>
    <s v="ORD-0227"/>
    <x v="97"/>
    <x v="0"/>
    <s v="Houston"/>
    <x v="2"/>
    <x v="2"/>
    <x v="2"/>
    <s v="Monitor"/>
    <n v="7"/>
    <n v="244.29"/>
    <n v="1710.03"/>
    <n v="175.24"/>
    <n v="1226.68"/>
    <n v="483.35"/>
    <n v="0.28265585983871627"/>
    <n v="140000"/>
  </r>
  <r>
    <s v="ORD-0228"/>
    <x v="39"/>
    <x v="1"/>
    <s v="Kansas City"/>
    <x v="2"/>
    <x v="0"/>
    <x v="1"/>
    <s v="Office Chair"/>
    <n v="7"/>
    <n v="293.64999999999998"/>
    <n v="2055.5500000000002"/>
    <n v="221.85"/>
    <n v="1552.95"/>
    <n v="502.6"/>
    <n v="0.24450876894261875"/>
    <n v="135000"/>
  </r>
  <r>
    <s v="ORD-0229"/>
    <x v="20"/>
    <x v="2"/>
    <s v="Seattle"/>
    <x v="1"/>
    <x v="1"/>
    <x v="1"/>
    <s v="Office Chair"/>
    <n v="3"/>
    <n v="339.24"/>
    <n v="1017.72"/>
    <n v="206.28"/>
    <n v="618.84"/>
    <n v="398.88"/>
    <n v="0.39193491333569153"/>
    <n v="155000"/>
  </r>
  <r>
    <s v="ORD-0230"/>
    <x v="167"/>
    <x v="0"/>
    <s v="Austin"/>
    <x v="0"/>
    <x v="2"/>
    <x v="1"/>
    <s v="Office Chair"/>
    <n v="7"/>
    <n v="345.96"/>
    <n v="2421.7199999999998"/>
    <n v="206.8"/>
    <n v="1447.6"/>
    <n v="974.12"/>
    <n v="0.40224303387674881"/>
    <n v="140000"/>
  </r>
  <r>
    <s v="ORD-0231"/>
    <x v="168"/>
    <x v="2"/>
    <s v="Seattle"/>
    <x v="1"/>
    <x v="1"/>
    <x v="0"/>
    <s v="Ink Cartridge"/>
    <n v="1"/>
    <n v="45.28"/>
    <n v="45.28"/>
    <n v="24.05"/>
    <n v="24.05"/>
    <n v="21.23"/>
    <n v="0.46886042402826855"/>
    <n v="155000"/>
  </r>
  <r>
    <s v="ORD-0232"/>
    <x v="64"/>
    <x v="2"/>
    <s v="San Diego"/>
    <x v="1"/>
    <x v="2"/>
    <x v="1"/>
    <s v="Standing Desk"/>
    <n v="1"/>
    <n v="591.38"/>
    <n v="591.38"/>
    <n v="414.7"/>
    <n v="414.7"/>
    <n v="176.68"/>
    <n v="0.29875883526666441"/>
    <n v="155000"/>
  </r>
  <r>
    <s v="ORD-0233"/>
    <x v="121"/>
    <x v="2"/>
    <s v="San Diego"/>
    <x v="2"/>
    <x v="2"/>
    <x v="0"/>
    <s v="Desk Organizer"/>
    <n v="5"/>
    <n v="26.64"/>
    <n v="133.19999999999999"/>
    <n v="15.77"/>
    <n v="78.849999999999994"/>
    <n v="54.35"/>
    <n v="0.40803303303303307"/>
    <n v="155000"/>
  </r>
  <r>
    <s v="ORD-0234"/>
    <x v="169"/>
    <x v="3"/>
    <s v="Philadelphia"/>
    <x v="1"/>
    <x v="1"/>
    <x v="1"/>
    <s v="Bookshelf"/>
    <n v="4"/>
    <n v="178.38"/>
    <n v="713.52"/>
    <n v="113.56"/>
    <n v="454.24"/>
    <n v="259.27999999999997"/>
    <n v="0.36338154501625741"/>
    <n v="165000"/>
  </r>
  <r>
    <s v="ORD-0235"/>
    <x v="170"/>
    <x v="2"/>
    <s v="Phoenix"/>
    <x v="0"/>
    <x v="0"/>
    <x v="2"/>
    <s v="Wireless Mouse"/>
    <n v="7"/>
    <n v="37.549999999999997"/>
    <n v="262.85000000000002"/>
    <n v="17.850000000000001"/>
    <n v="124.95"/>
    <n v="137.9"/>
    <n v="0.52463382157123828"/>
    <n v="155000"/>
  </r>
  <r>
    <s v="ORD-0236"/>
    <x v="70"/>
    <x v="1"/>
    <s v="Denver"/>
    <x v="1"/>
    <x v="0"/>
    <x v="1"/>
    <s v="Bookshelf"/>
    <n v="8"/>
    <n v="171.54"/>
    <n v="1372.32"/>
    <n v="112.99"/>
    <n v="903.92"/>
    <n v="468.4"/>
    <n v="0.34131980879095253"/>
    <n v="135000"/>
  </r>
  <r>
    <s v="ORD-0237"/>
    <x v="171"/>
    <x v="2"/>
    <s v="Phoenix"/>
    <x v="2"/>
    <x v="2"/>
    <x v="1"/>
    <s v="Office Chair"/>
    <n v="3"/>
    <n v="315.33999999999997"/>
    <n v="946.02"/>
    <n v="206.95"/>
    <n v="620.85"/>
    <n v="325.17"/>
    <n v="0.34372423415995434"/>
    <n v="155000"/>
  </r>
  <r>
    <s v="ORD-0238"/>
    <x v="172"/>
    <x v="0"/>
    <s v="San Antonio"/>
    <x v="2"/>
    <x v="0"/>
    <x v="2"/>
    <s v="Laptop"/>
    <n v="1"/>
    <n v="911.11"/>
    <n v="911.11"/>
    <n v="739.7"/>
    <n v="739.7"/>
    <n v="171.41"/>
    <n v="0.18813315625994664"/>
    <n v="140000"/>
  </r>
  <r>
    <s v="ORD-0239"/>
    <x v="54"/>
    <x v="0"/>
    <s v="Houston"/>
    <x v="1"/>
    <x v="2"/>
    <x v="1"/>
    <s v="Bookshelf"/>
    <n v="4"/>
    <n v="180.98"/>
    <n v="723.92"/>
    <n v="120.4"/>
    <n v="481.6"/>
    <n v="242.32"/>
    <n v="0.3347331196817328"/>
    <n v="140000"/>
  </r>
  <r>
    <s v="ORD-0240"/>
    <x v="173"/>
    <x v="3"/>
    <s v="New York"/>
    <x v="1"/>
    <x v="0"/>
    <x v="0"/>
    <s v="Ink Cartridge"/>
    <n v="8"/>
    <n v="46.25"/>
    <n v="370"/>
    <n v="24.71"/>
    <n v="197.68"/>
    <n v="172.32"/>
    <n v="0.4657297297297297"/>
    <n v="165000"/>
  </r>
  <r>
    <s v="ORD-0241"/>
    <x v="163"/>
    <x v="2"/>
    <s v="Phoenix"/>
    <x v="2"/>
    <x v="2"/>
    <x v="2"/>
    <s v="Monitor"/>
    <n v="7"/>
    <n v="260.67"/>
    <n v="1824.69"/>
    <n v="184.48"/>
    <n v="1291.3599999999999"/>
    <n v="533.33000000000004"/>
    <n v="0.29228526489431084"/>
    <n v="155000"/>
  </r>
  <r>
    <s v="ORD-0242"/>
    <x v="166"/>
    <x v="3"/>
    <s v="Philadelphia"/>
    <x v="0"/>
    <x v="2"/>
    <x v="0"/>
    <s v="Ink Cartridge"/>
    <n v="8"/>
    <n v="44.84"/>
    <n v="358.72"/>
    <n v="23.81"/>
    <n v="190.48"/>
    <n v="168.24"/>
    <n v="0.46900089206066009"/>
    <n v="165000"/>
  </r>
  <r>
    <s v="ORD-0243"/>
    <x v="174"/>
    <x v="3"/>
    <s v="Philadelphia"/>
    <x v="1"/>
    <x v="2"/>
    <x v="2"/>
    <s v="Laptop"/>
    <n v="3"/>
    <n v="858.39"/>
    <n v="2575.17"/>
    <n v="731.04"/>
    <n v="2193.12"/>
    <n v="382.05"/>
    <n v="0.14835913745500298"/>
    <n v="165000"/>
  </r>
  <r>
    <s v="ORD-0244"/>
    <x v="96"/>
    <x v="1"/>
    <s v="Kansas City"/>
    <x v="1"/>
    <x v="0"/>
    <x v="1"/>
    <s v="Office Chair"/>
    <n v="4"/>
    <n v="323.14999999999998"/>
    <n v="1292.5999999999999"/>
    <n v="215.35"/>
    <n v="861.4"/>
    <n v="431.2"/>
    <n v="0.33359121151168192"/>
    <n v="135000"/>
  </r>
  <r>
    <s v="ORD-0245"/>
    <x v="59"/>
    <x v="3"/>
    <s v="Philadelphia"/>
    <x v="2"/>
    <x v="2"/>
    <x v="1"/>
    <s v="Standing Desk"/>
    <n v="8"/>
    <n v="580.95000000000005"/>
    <n v="4647.6000000000004"/>
    <n v="446.98"/>
    <n v="3575.84"/>
    <n v="1071.76"/>
    <n v="0.23060504346329286"/>
    <n v="165000"/>
  </r>
  <r>
    <s v="ORD-0246"/>
    <x v="175"/>
    <x v="2"/>
    <s v="Phoenix"/>
    <x v="1"/>
    <x v="1"/>
    <x v="0"/>
    <s v="Printer Paper"/>
    <n v="1"/>
    <n v="13.02"/>
    <n v="13.02"/>
    <n v="5.8"/>
    <n v="5.8"/>
    <n v="7.22"/>
    <n v="0.55453149001536095"/>
    <n v="155000"/>
  </r>
  <r>
    <s v="ORD-0247"/>
    <x v="176"/>
    <x v="0"/>
    <s v="Houston"/>
    <x v="1"/>
    <x v="1"/>
    <x v="2"/>
    <s v="Laptop"/>
    <n v="2"/>
    <n v="1002.8"/>
    <n v="2005.6"/>
    <n v="691.86"/>
    <n v="1383.72"/>
    <n v="621.88"/>
    <n v="0.31007179896290388"/>
    <n v="140000"/>
  </r>
  <r>
    <s v="ORD-0248"/>
    <x v="177"/>
    <x v="1"/>
    <s v="Kansas City"/>
    <x v="1"/>
    <x v="2"/>
    <x v="1"/>
    <s v="Standing Desk"/>
    <n v="8"/>
    <n v="560.15"/>
    <n v="4481.2"/>
    <n v="435.69"/>
    <n v="3485.52"/>
    <n v="995.68"/>
    <n v="0.22219048469160046"/>
    <n v="135000"/>
  </r>
  <r>
    <s v="ORD-0249"/>
    <x v="178"/>
    <x v="0"/>
    <s v="Houston"/>
    <x v="0"/>
    <x v="0"/>
    <x v="2"/>
    <s v="Monitor"/>
    <n v="1"/>
    <n v="262.73"/>
    <n v="262.73"/>
    <n v="185.36"/>
    <n v="185.36"/>
    <n v="77.37"/>
    <n v="0.2944848323373806"/>
    <n v="140000"/>
  </r>
  <r>
    <s v="ORD-0250"/>
    <x v="148"/>
    <x v="2"/>
    <s v="Los Angeles"/>
    <x v="2"/>
    <x v="2"/>
    <x v="2"/>
    <s v="Laptop"/>
    <n v="4"/>
    <n v="984.53"/>
    <n v="3938.12"/>
    <n v="709.37"/>
    <n v="2837.48"/>
    <n v="1100.6400000000001"/>
    <n v="0.27948361146943212"/>
    <n v="155000"/>
  </r>
  <r>
    <s v="ORD-0251"/>
    <x v="21"/>
    <x v="3"/>
    <s v="Miami"/>
    <x v="1"/>
    <x v="1"/>
    <x v="1"/>
    <s v="Standing Desk"/>
    <n v="4"/>
    <n v="693.07"/>
    <n v="2772.28"/>
    <n v="422.51"/>
    <n v="1690.04"/>
    <n v="1082.24"/>
    <n v="0.39037903819239034"/>
    <n v="165000"/>
  </r>
  <r>
    <s v="ORD-0252"/>
    <x v="59"/>
    <x v="0"/>
    <s v="Houston"/>
    <x v="1"/>
    <x v="0"/>
    <x v="1"/>
    <s v="Bookshelf"/>
    <n v="8"/>
    <n v="164.22"/>
    <n v="1313.76"/>
    <n v="110.51"/>
    <n v="884.08"/>
    <n v="429.68"/>
    <n v="0.32706125928632324"/>
    <n v="140000"/>
  </r>
  <r>
    <s v="ORD-0253"/>
    <x v="143"/>
    <x v="0"/>
    <s v="San Antonio"/>
    <x v="2"/>
    <x v="2"/>
    <x v="2"/>
    <s v="Wireless Mouse"/>
    <n v="2"/>
    <n v="38.39"/>
    <n v="76.78"/>
    <n v="18.93"/>
    <n v="37.86"/>
    <n v="38.92"/>
    <n v="0.50690283928106283"/>
    <n v="140000"/>
  </r>
  <r>
    <s v="ORD-0254"/>
    <x v="92"/>
    <x v="2"/>
    <s v="Phoenix"/>
    <x v="1"/>
    <x v="1"/>
    <x v="2"/>
    <s v="Monitor"/>
    <n v="1"/>
    <n v="244.26"/>
    <n v="244.26"/>
    <n v="188.11"/>
    <n v="188.11"/>
    <n v="56.15"/>
    <n v="0.22987799885368052"/>
    <n v="155000"/>
  </r>
  <r>
    <s v="ORD-0255"/>
    <x v="64"/>
    <x v="2"/>
    <s v="San Diego"/>
    <x v="2"/>
    <x v="2"/>
    <x v="1"/>
    <s v="Office Chair"/>
    <n v="2"/>
    <n v="309.07"/>
    <n v="618.14"/>
    <n v="213.44"/>
    <n v="426.88"/>
    <n v="191.26"/>
    <n v="0.30941210728961077"/>
    <n v="155000"/>
  </r>
  <r>
    <s v="ORD-0256"/>
    <x v="179"/>
    <x v="1"/>
    <s v="Kansas City"/>
    <x v="1"/>
    <x v="2"/>
    <x v="0"/>
    <s v="Ink Cartridge"/>
    <n v="6"/>
    <n v="38.299999999999997"/>
    <n v="229.8"/>
    <n v="24.09"/>
    <n v="144.54"/>
    <n v="85.26"/>
    <n v="0.37101827676240207"/>
    <n v="135000"/>
  </r>
  <r>
    <s v="ORD-0257"/>
    <x v="23"/>
    <x v="3"/>
    <s v="Miami"/>
    <x v="2"/>
    <x v="0"/>
    <x v="2"/>
    <s v="Monitor"/>
    <n v="8"/>
    <n v="262.06"/>
    <n v="2096.48"/>
    <n v="179.2"/>
    <n v="1433.6"/>
    <n v="662.88"/>
    <n v="0.31618713271769822"/>
    <n v="165000"/>
  </r>
  <r>
    <s v="ORD-0258"/>
    <x v="58"/>
    <x v="1"/>
    <s v="Denver"/>
    <x v="0"/>
    <x v="2"/>
    <x v="0"/>
    <s v="Ink Cartridge"/>
    <n v="5"/>
    <n v="45.17"/>
    <n v="225.85"/>
    <n v="24.75"/>
    <n v="123.75"/>
    <n v="102.1"/>
    <n v="0.45206995793668364"/>
    <n v="135000"/>
  </r>
  <r>
    <s v="ORD-0259"/>
    <x v="180"/>
    <x v="3"/>
    <s v="Boston"/>
    <x v="1"/>
    <x v="2"/>
    <x v="0"/>
    <s v="Desk Organizer"/>
    <n v="7"/>
    <n v="27.15"/>
    <n v="190.05"/>
    <n v="14.56"/>
    <n v="101.92"/>
    <n v="88.13"/>
    <n v="0.46372007366482498"/>
    <n v="165000"/>
  </r>
  <r>
    <s v="ORD-0260"/>
    <x v="181"/>
    <x v="3"/>
    <s v="Miami"/>
    <x v="1"/>
    <x v="0"/>
    <x v="0"/>
    <s v="Desk Organizer"/>
    <n v="2"/>
    <n v="26.35"/>
    <n v="52.7"/>
    <n v="15.07"/>
    <n v="30.14"/>
    <n v="22.56"/>
    <n v="0.42808349146110053"/>
    <n v="165000"/>
  </r>
  <r>
    <s v="ORD-0261"/>
    <x v="182"/>
    <x v="1"/>
    <s v="Chicago"/>
    <x v="1"/>
    <x v="0"/>
    <x v="0"/>
    <s v="Ink Cartridge"/>
    <n v="6"/>
    <n v="45.78"/>
    <n v="274.68"/>
    <n v="23.07"/>
    <n v="138.41999999999999"/>
    <n v="136.26"/>
    <n v="0.49606815203145471"/>
    <n v="135000"/>
  </r>
  <r>
    <s v="ORD-0262"/>
    <x v="38"/>
    <x v="1"/>
    <s v="Chicago"/>
    <x v="0"/>
    <x v="2"/>
    <x v="2"/>
    <s v="Laptop"/>
    <n v="3"/>
    <n v="998.23"/>
    <n v="2994.69"/>
    <n v="703.4"/>
    <n v="2110.1999999999998"/>
    <n v="884.49"/>
    <n v="0.29535277441070695"/>
    <n v="135000"/>
  </r>
  <r>
    <s v="ORD-0263"/>
    <x v="183"/>
    <x v="3"/>
    <s v="Philadelphia"/>
    <x v="0"/>
    <x v="0"/>
    <x v="1"/>
    <s v="Office Chair"/>
    <n v="5"/>
    <n v="317.64999999999998"/>
    <n v="1588.25"/>
    <n v="211.77"/>
    <n v="1058.8499999999999"/>
    <n v="529.4"/>
    <n v="0.33332283960333697"/>
    <n v="165000"/>
  </r>
  <r>
    <s v="ORD-0264"/>
    <x v="184"/>
    <x v="3"/>
    <s v="Philadelphia"/>
    <x v="2"/>
    <x v="2"/>
    <x v="1"/>
    <s v="Standing Desk"/>
    <n v="4"/>
    <n v="620.45000000000005"/>
    <n v="2481.8000000000002"/>
    <n v="418.63"/>
    <n v="1674.52"/>
    <n v="807.28"/>
    <n v="0.32528003868160205"/>
    <n v="165000"/>
  </r>
  <r>
    <s v="ORD-0265"/>
    <x v="161"/>
    <x v="1"/>
    <s v="Kansas City"/>
    <x v="2"/>
    <x v="0"/>
    <x v="2"/>
    <s v="Wireless Mouse"/>
    <n v="8"/>
    <n v="34.08"/>
    <n v="272.64"/>
    <n v="18.75"/>
    <n v="150"/>
    <n v="122.64"/>
    <n v="0.44982394366197187"/>
    <n v="135000"/>
  </r>
  <r>
    <s v="ORD-0266"/>
    <x v="61"/>
    <x v="2"/>
    <s v="Seattle"/>
    <x v="1"/>
    <x v="1"/>
    <x v="2"/>
    <s v="Laptop"/>
    <n v="8"/>
    <n v="920.66"/>
    <n v="7365.28"/>
    <n v="760.65"/>
    <n v="6085.2"/>
    <n v="1280.08"/>
    <n v="0.17379923098646621"/>
    <n v="155000"/>
  </r>
  <r>
    <s v="ORD-0267"/>
    <x v="185"/>
    <x v="3"/>
    <s v="Miami"/>
    <x v="2"/>
    <x v="2"/>
    <x v="2"/>
    <s v="Wireless Mouse"/>
    <n v="7"/>
    <n v="33.659999999999997"/>
    <n v="235.62"/>
    <n v="18.690000000000001"/>
    <n v="130.83000000000001"/>
    <n v="104.79"/>
    <n v="0.44474153297682711"/>
    <n v="165000"/>
  </r>
  <r>
    <s v="ORD-0268"/>
    <x v="186"/>
    <x v="0"/>
    <s v="Dallas"/>
    <x v="0"/>
    <x v="2"/>
    <x v="1"/>
    <s v="Bookshelf"/>
    <n v="1"/>
    <n v="199.74"/>
    <n v="199.74"/>
    <n v="115.71"/>
    <n v="115.71"/>
    <n v="84.03"/>
    <n v="0.4206969059777711"/>
    <n v="140000"/>
  </r>
  <r>
    <s v="ORD-0269"/>
    <x v="171"/>
    <x v="2"/>
    <s v="Phoenix"/>
    <x v="2"/>
    <x v="1"/>
    <x v="0"/>
    <s v="Ink Cartridge"/>
    <n v="7"/>
    <n v="44.02"/>
    <n v="308.14"/>
    <n v="23.37"/>
    <n v="163.59"/>
    <n v="144.55000000000001"/>
    <n v="0.46910495229441168"/>
    <n v="155000"/>
  </r>
  <r>
    <s v="ORD-0270"/>
    <x v="187"/>
    <x v="2"/>
    <s v="Seattle"/>
    <x v="0"/>
    <x v="2"/>
    <x v="1"/>
    <s v="Office Chair"/>
    <n v="2"/>
    <n v="319.61"/>
    <n v="639.22"/>
    <n v="214.16"/>
    <n v="428.32"/>
    <n v="210.9"/>
    <n v="0.32993335627796377"/>
    <n v="155000"/>
  </r>
  <r>
    <s v="ORD-0271"/>
    <x v="188"/>
    <x v="1"/>
    <s v="Minneapolis"/>
    <x v="0"/>
    <x v="2"/>
    <x v="2"/>
    <s v="Wireless Mouse"/>
    <n v="2"/>
    <n v="32.340000000000003"/>
    <n v="64.680000000000007"/>
    <n v="17.73"/>
    <n v="35.46"/>
    <n v="29.22"/>
    <n v="0.45176252319109456"/>
    <n v="135000"/>
  </r>
  <r>
    <s v="ORD-0272"/>
    <x v="42"/>
    <x v="3"/>
    <s v="Boston"/>
    <x v="0"/>
    <x v="0"/>
    <x v="1"/>
    <s v="Office Chair"/>
    <n v="6"/>
    <n v="355.99"/>
    <n v="2135.94"/>
    <n v="210.64"/>
    <n v="1263.8399999999999"/>
    <n v="872.1"/>
    <n v="0.40829798589848032"/>
    <n v="165000"/>
  </r>
  <r>
    <s v="ORD-0273"/>
    <x v="189"/>
    <x v="0"/>
    <s v="Austin"/>
    <x v="1"/>
    <x v="2"/>
    <x v="1"/>
    <s v="Bookshelf"/>
    <n v="4"/>
    <n v="179.65"/>
    <n v="718.6"/>
    <n v="114.9"/>
    <n v="459.6"/>
    <n v="259"/>
    <n v="0.3604230448093515"/>
    <n v="140000"/>
  </r>
  <r>
    <s v="ORD-0274"/>
    <x v="190"/>
    <x v="2"/>
    <s v="Seattle"/>
    <x v="2"/>
    <x v="2"/>
    <x v="2"/>
    <s v="Monitor"/>
    <n v="7"/>
    <n v="286.66000000000003"/>
    <n v="2006.62"/>
    <n v="174.35"/>
    <n v="1220.45"/>
    <n v="786.17"/>
    <n v="0.39178818112049119"/>
    <n v="155000"/>
  </r>
  <r>
    <s v="ORD-0275"/>
    <x v="191"/>
    <x v="3"/>
    <s v="Philadelphia"/>
    <x v="1"/>
    <x v="2"/>
    <x v="1"/>
    <s v="Bookshelf"/>
    <n v="8"/>
    <n v="175.79"/>
    <n v="1406.32"/>
    <n v="111.52"/>
    <n v="892.16"/>
    <n v="514.16"/>
    <n v="0.36560668980032995"/>
    <n v="165000"/>
  </r>
  <r>
    <s v="ORD-0276"/>
    <x v="43"/>
    <x v="1"/>
    <s v="Kansas City"/>
    <x v="1"/>
    <x v="0"/>
    <x v="0"/>
    <s v="Ink Cartridge"/>
    <n v="1"/>
    <n v="45.65"/>
    <n v="45.65"/>
    <n v="24.6"/>
    <n v="24.6"/>
    <n v="21.05"/>
    <n v="0.46111719605695511"/>
    <n v="135000"/>
  </r>
  <r>
    <s v="ORD-0277"/>
    <x v="192"/>
    <x v="2"/>
    <s v="San Diego"/>
    <x v="0"/>
    <x v="2"/>
    <x v="2"/>
    <s v="Wireless Mouse"/>
    <n v="7"/>
    <n v="38.880000000000003"/>
    <n v="272.16000000000003"/>
    <n v="17.7"/>
    <n v="123.9"/>
    <n v="148.26"/>
    <n v="0.54475308641975295"/>
    <n v="155000"/>
  </r>
  <r>
    <s v="ORD-0278"/>
    <x v="55"/>
    <x v="2"/>
    <s v="San Diego"/>
    <x v="0"/>
    <x v="0"/>
    <x v="0"/>
    <s v="Printer Paper"/>
    <n v="4"/>
    <n v="11.99"/>
    <n v="47.96"/>
    <n v="6.02"/>
    <n v="24.08"/>
    <n v="23.88"/>
    <n v="0.49791492910758961"/>
    <n v="155000"/>
  </r>
  <r>
    <s v="ORD-0279"/>
    <x v="181"/>
    <x v="2"/>
    <s v="San Diego"/>
    <x v="1"/>
    <x v="2"/>
    <x v="0"/>
    <s v="Ink Cartridge"/>
    <n v="2"/>
    <n v="45.19"/>
    <n v="90.38"/>
    <n v="24.33"/>
    <n v="48.66"/>
    <n v="41.72"/>
    <n v="0.46160655012170837"/>
    <n v="155000"/>
  </r>
  <r>
    <s v="ORD-0280"/>
    <x v="95"/>
    <x v="3"/>
    <s v="Boston"/>
    <x v="0"/>
    <x v="0"/>
    <x v="1"/>
    <s v="Standing Desk"/>
    <n v="6"/>
    <n v="639.42999999999995"/>
    <n v="3836.58"/>
    <n v="439.09"/>
    <n v="2634.54"/>
    <n v="1202.04"/>
    <n v="0.31331029197879362"/>
    <n v="165000"/>
  </r>
  <r>
    <s v="ORD-0281"/>
    <x v="193"/>
    <x v="0"/>
    <s v="Austin"/>
    <x v="1"/>
    <x v="2"/>
    <x v="0"/>
    <s v="Desk Organizer"/>
    <n v="5"/>
    <n v="30.86"/>
    <n v="154.30000000000001"/>
    <n v="15.29"/>
    <n v="76.45"/>
    <n v="77.849999999999994"/>
    <n v="0.50453661697990915"/>
    <n v="140000"/>
  </r>
  <r>
    <s v="ORD-0282"/>
    <x v="46"/>
    <x v="2"/>
    <s v="Seattle"/>
    <x v="1"/>
    <x v="0"/>
    <x v="0"/>
    <s v="Desk Organizer"/>
    <n v="6"/>
    <n v="29.47"/>
    <n v="176.82"/>
    <n v="15.17"/>
    <n v="91.02"/>
    <n v="85.8"/>
    <n v="0.48523922633186289"/>
    <n v="155000"/>
  </r>
  <r>
    <s v="ORD-0283"/>
    <x v="111"/>
    <x v="2"/>
    <s v="Phoenix"/>
    <x v="1"/>
    <x v="2"/>
    <x v="1"/>
    <s v="Bookshelf"/>
    <n v="3"/>
    <n v="183.97"/>
    <n v="551.91"/>
    <n v="116.03"/>
    <n v="348.09"/>
    <n v="203.82"/>
    <n v="0.36929934228406808"/>
    <n v="155000"/>
  </r>
  <r>
    <s v="ORD-0284"/>
    <x v="194"/>
    <x v="2"/>
    <s v="Seattle"/>
    <x v="2"/>
    <x v="2"/>
    <x v="2"/>
    <s v="Wireless Mouse"/>
    <n v="1"/>
    <n v="35.229999999999997"/>
    <n v="35.229999999999997"/>
    <n v="17.63"/>
    <n v="17.63"/>
    <n v="17.600000000000001"/>
    <n v="0.49957422651149597"/>
    <n v="155000"/>
  </r>
  <r>
    <s v="ORD-0285"/>
    <x v="145"/>
    <x v="1"/>
    <s v="Minneapolis"/>
    <x v="0"/>
    <x v="0"/>
    <x v="1"/>
    <s v="Standing Desk"/>
    <n v="8"/>
    <n v="580.80999999999995"/>
    <n v="4646.4799999999996"/>
    <n v="437.11"/>
    <n v="3496.88"/>
    <n v="1149.5999999999999"/>
    <n v="0.24741309550455398"/>
    <n v="135000"/>
  </r>
  <r>
    <s v="ORD-0286"/>
    <x v="195"/>
    <x v="3"/>
    <s v="New York"/>
    <x v="1"/>
    <x v="2"/>
    <x v="0"/>
    <s v="Desk Organizer"/>
    <n v="8"/>
    <n v="28.68"/>
    <n v="229.44"/>
    <n v="15.56"/>
    <n v="124.48"/>
    <n v="104.96"/>
    <n v="0.45746164574616455"/>
    <n v="165000"/>
  </r>
  <r>
    <s v="ORD-0287"/>
    <x v="196"/>
    <x v="0"/>
    <s v="Houston"/>
    <x v="1"/>
    <x v="2"/>
    <x v="2"/>
    <s v="Wireless Mouse"/>
    <n v="1"/>
    <n v="37.35"/>
    <n v="37.35"/>
    <n v="18.07"/>
    <n v="18.07"/>
    <n v="19.28"/>
    <n v="0.51619812583668001"/>
    <n v="140000"/>
  </r>
  <r>
    <s v="ORD-0288"/>
    <x v="197"/>
    <x v="1"/>
    <s v="Chicago"/>
    <x v="0"/>
    <x v="2"/>
    <x v="2"/>
    <s v="Laptop"/>
    <n v="5"/>
    <n v="1037.8399999999999"/>
    <n v="5189.2"/>
    <n v="693.52"/>
    <n v="3467.6"/>
    <n v="1721.6"/>
    <n v="0.33176597548755105"/>
    <n v="135000"/>
  </r>
  <r>
    <s v="ORD-0289"/>
    <x v="198"/>
    <x v="3"/>
    <s v="New York"/>
    <x v="1"/>
    <x v="1"/>
    <x v="2"/>
    <s v="Laptop"/>
    <n v="4"/>
    <n v="1024.44"/>
    <n v="4097.76"/>
    <n v="733.53"/>
    <n v="2934.12"/>
    <n v="1163.6400000000001"/>
    <n v="0.28396977861075318"/>
    <n v="165000"/>
  </r>
  <r>
    <s v="ORD-0290"/>
    <x v="199"/>
    <x v="1"/>
    <s v="Denver"/>
    <x v="0"/>
    <x v="2"/>
    <x v="2"/>
    <s v="Laptop"/>
    <n v="1"/>
    <n v="974.15"/>
    <n v="974.15"/>
    <n v="729.52"/>
    <n v="729.52"/>
    <n v="244.63"/>
    <n v="0.25112149053020583"/>
    <n v="135000"/>
  </r>
  <r>
    <s v="ORD-0291"/>
    <x v="101"/>
    <x v="2"/>
    <s v="Seattle"/>
    <x v="2"/>
    <x v="0"/>
    <x v="2"/>
    <s v="Monitor"/>
    <n v="2"/>
    <n v="241.76"/>
    <n v="483.52"/>
    <n v="186.3"/>
    <n v="372.6"/>
    <n v="110.92"/>
    <n v="0.22940105890138981"/>
    <n v="155000"/>
  </r>
  <r>
    <s v="ORD-0292"/>
    <x v="178"/>
    <x v="0"/>
    <s v="Austin"/>
    <x v="2"/>
    <x v="0"/>
    <x v="0"/>
    <s v="Desk Organizer"/>
    <n v="4"/>
    <n v="26.1"/>
    <n v="104.4"/>
    <n v="14.88"/>
    <n v="59.52"/>
    <n v="44.88"/>
    <n v="0.42988505747126438"/>
    <n v="140000"/>
  </r>
  <r>
    <s v="ORD-0293"/>
    <x v="18"/>
    <x v="1"/>
    <s v="Minneapolis"/>
    <x v="1"/>
    <x v="2"/>
    <x v="1"/>
    <s v="Office Chair"/>
    <n v="7"/>
    <n v="319.82"/>
    <n v="2238.7399999999998"/>
    <n v="214.91"/>
    <n v="1504.37"/>
    <n v="734.37"/>
    <n v="0.32802826589956852"/>
    <n v="135000"/>
  </r>
  <r>
    <s v="ORD-0294"/>
    <x v="106"/>
    <x v="1"/>
    <s v="Kansas City"/>
    <x v="0"/>
    <x v="1"/>
    <x v="1"/>
    <s v="Standing Desk"/>
    <n v="8"/>
    <n v="602.64"/>
    <n v="4821.12"/>
    <n v="412.91"/>
    <n v="3303.28"/>
    <n v="1517.84"/>
    <n v="0.31483140846940127"/>
    <n v="135000"/>
  </r>
  <r>
    <s v="ORD-0295"/>
    <x v="106"/>
    <x v="1"/>
    <s v="Kansas City"/>
    <x v="2"/>
    <x v="2"/>
    <x v="1"/>
    <s v="Office Chair"/>
    <n v="4"/>
    <n v="356.16"/>
    <n v="1424.64"/>
    <n v="218.92"/>
    <n v="875.68"/>
    <n v="548.96"/>
    <n v="0.38533243486073676"/>
    <n v="135000"/>
  </r>
  <r>
    <s v="ORD-0296"/>
    <x v="196"/>
    <x v="3"/>
    <s v="Philadelphia"/>
    <x v="2"/>
    <x v="0"/>
    <x v="0"/>
    <s v="Desk Organizer"/>
    <n v="8"/>
    <n v="30.06"/>
    <n v="240.48"/>
    <n v="15.74"/>
    <n v="125.92"/>
    <n v="114.56"/>
    <n v="0.47638057218895546"/>
    <n v="165000"/>
  </r>
  <r>
    <s v="ORD-0297"/>
    <x v="11"/>
    <x v="0"/>
    <s v="Houston"/>
    <x v="0"/>
    <x v="1"/>
    <x v="0"/>
    <s v="Printer Paper"/>
    <n v="2"/>
    <n v="13.25"/>
    <n v="26.5"/>
    <n v="5.85"/>
    <n v="11.7"/>
    <n v="14.8"/>
    <n v="0.55849056603773584"/>
    <n v="140000"/>
  </r>
  <r>
    <s v="ORD-0298"/>
    <x v="200"/>
    <x v="0"/>
    <s v="San Antonio"/>
    <x v="1"/>
    <x v="2"/>
    <x v="0"/>
    <s v="Desk Organizer"/>
    <n v="5"/>
    <n v="26.18"/>
    <n v="130.9"/>
    <n v="15.8"/>
    <n v="79"/>
    <n v="51.9"/>
    <n v="0.39648586707410233"/>
    <n v="140000"/>
  </r>
  <r>
    <s v="ORD-0299"/>
    <x v="154"/>
    <x v="0"/>
    <s v="Austin"/>
    <x v="1"/>
    <x v="0"/>
    <x v="0"/>
    <s v="Desk Organizer"/>
    <n v="1"/>
    <n v="27.64"/>
    <n v="27.64"/>
    <n v="14.86"/>
    <n v="14.86"/>
    <n v="12.78"/>
    <n v="0.4623733719247467"/>
    <n v="140000"/>
  </r>
  <r>
    <s v="ORD-0300"/>
    <x v="201"/>
    <x v="2"/>
    <s v="Phoenix"/>
    <x v="0"/>
    <x v="2"/>
    <x v="0"/>
    <s v="Printer Paper"/>
    <n v="4"/>
    <n v="12.06"/>
    <n v="48.24"/>
    <n v="5.84"/>
    <n v="23.36"/>
    <n v="24.88"/>
    <n v="0.51575456053067992"/>
    <n v="155000"/>
  </r>
  <r>
    <s v="ORD-0301"/>
    <x v="157"/>
    <x v="1"/>
    <s v="Chicago"/>
    <x v="1"/>
    <x v="0"/>
    <x v="0"/>
    <s v="Ink Cartridge"/>
    <n v="7"/>
    <n v="44.21"/>
    <n v="309.47000000000003"/>
    <n v="24.19"/>
    <n v="169.33"/>
    <n v="140.13999999999999"/>
    <n v="0.45283872427052696"/>
    <n v="135000"/>
  </r>
  <r>
    <s v="ORD-0302"/>
    <x v="92"/>
    <x v="1"/>
    <s v="Chicago"/>
    <x v="0"/>
    <x v="0"/>
    <x v="2"/>
    <s v="Wireless Mouse"/>
    <n v="6"/>
    <n v="38.28"/>
    <n v="229.68"/>
    <n v="17.53"/>
    <n v="105.18"/>
    <n v="124.5"/>
    <n v="0.54205851619644718"/>
    <n v="135000"/>
  </r>
  <r>
    <s v="ORD-0303"/>
    <x v="202"/>
    <x v="2"/>
    <s v="Los Angeles"/>
    <x v="0"/>
    <x v="0"/>
    <x v="0"/>
    <s v="Desk Organizer"/>
    <n v="8"/>
    <n v="27.36"/>
    <n v="218.88"/>
    <n v="14.72"/>
    <n v="117.76"/>
    <n v="101.12"/>
    <n v="0.46198830409356728"/>
    <n v="155000"/>
  </r>
  <r>
    <s v="ORD-0304"/>
    <x v="119"/>
    <x v="1"/>
    <s v="Minneapolis"/>
    <x v="2"/>
    <x v="0"/>
    <x v="0"/>
    <s v="Ink Cartridge"/>
    <n v="3"/>
    <n v="44.75"/>
    <n v="134.25"/>
    <n v="24.45"/>
    <n v="73.349999999999994"/>
    <n v="60.9"/>
    <n v="0.45363128491620108"/>
    <n v="135000"/>
  </r>
  <r>
    <s v="ORD-0305"/>
    <x v="145"/>
    <x v="3"/>
    <s v="Miami"/>
    <x v="1"/>
    <x v="0"/>
    <x v="2"/>
    <s v="Monitor"/>
    <n v="2"/>
    <n v="248.2"/>
    <n v="496.4"/>
    <n v="183.62"/>
    <n v="367.24"/>
    <n v="129.16"/>
    <n v="0.26019339242546335"/>
    <n v="165000"/>
  </r>
  <r>
    <s v="ORD-0306"/>
    <x v="203"/>
    <x v="3"/>
    <s v="New York"/>
    <x v="2"/>
    <x v="2"/>
    <x v="2"/>
    <s v="Monitor"/>
    <n v="4"/>
    <n v="263.62"/>
    <n v="1054.48"/>
    <n v="181.97"/>
    <n v="727.88"/>
    <n v="326.60000000000002"/>
    <n v="0.30972612093164403"/>
    <n v="165000"/>
  </r>
  <r>
    <s v="ORD-0307"/>
    <x v="123"/>
    <x v="3"/>
    <s v="New York"/>
    <x v="2"/>
    <x v="2"/>
    <x v="2"/>
    <s v="Laptop"/>
    <n v="8"/>
    <n v="935.65"/>
    <n v="7485.2"/>
    <n v="708.56"/>
    <n v="5668.48"/>
    <n v="1816.72"/>
    <n v="0.2427082776679314"/>
    <n v="165000"/>
  </r>
  <r>
    <s v="ORD-0308"/>
    <x v="51"/>
    <x v="0"/>
    <s v="Houston"/>
    <x v="2"/>
    <x v="1"/>
    <x v="0"/>
    <s v="Desk Organizer"/>
    <n v="7"/>
    <n v="30.5"/>
    <n v="213.5"/>
    <n v="15.25"/>
    <n v="106.75"/>
    <n v="106.75"/>
    <n v="0.5"/>
    <n v="140000"/>
  </r>
  <r>
    <s v="ORD-0309"/>
    <x v="95"/>
    <x v="2"/>
    <s v="Phoenix"/>
    <x v="2"/>
    <x v="2"/>
    <x v="0"/>
    <s v="Printer Paper"/>
    <n v="2"/>
    <n v="10.84"/>
    <n v="21.68"/>
    <n v="5.89"/>
    <n v="11.78"/>
    <n v="9.9"/>
    <n v="0.45664206642066424"/>
    <n v="155000"/>
  </r>
  <r>
    <s v="ORD-0310"/>
    <x v="19"/>
    <x v="1"/>
    <s v="Kansas City"/>
    <x v="0"/>
    <x v="2"/>
    <x v="1"/>
    <s v="Office Chair"/>
    <n v="7"/>
    <n v="337.41"/>
    <n v="2361.87"/>
    <n v="203.33"/>
    <n v="1423.31"/>
    <n v="938.56"/>
    <n v="0.39738004208529681"/>
    <n v="135000"/>
  </r>
  <r>
    <s v="ORD-0311"/>
    <x v="204"/>
    <x v="2"/>
    <s v="Seattle"/>
    <x v="1"/>
    <x v="0"/>
    <x v="2"/>
    <s v="Laptop"/>
    <n v="3"/>
    <n v="967.11"/>
    <n v="2901.33"/>
    <n v="719.33"/>
    <n v="2157.9899999999998"/>
    <n v="743.34"/>
    <n v="0.25620663626681556"/>
    <n v="155000"/>
  </r>
  <r>
    <s v="ORD-0312"/>
    <x v="205"/>
    <x v="0"/>
    <s v="Austin"/>
    <x v="0"/>
    <x v="2"/>
    <x v="2"/>
    <s v="Laptop"/>
    <n v="1"/>
    <n v="906.1"/>
    <n v="906.1"/>
    <n v="757.77"/>
    <n v="757.77"/>
    <n v="148.33000000000001"/>
    <n v="0.16370157819225253"/>
    <n v="140000"/>
  </r>
  <r>
    <s v="ORD-0313"/>
    <x v="206"/>
    <x v="1"/>
    <s v="Chicago"/>
    <x v="1"/>
    <x v="2"/>
    <x v="0"/>
    <s v="Desk Organizer"/>
    <n v="2"/>
    <n v="25.28"/>
    <n v="50.56"/>
    <n v="14.61"/>
    <n v="29.22"/>
    <n v="21.34"/>
    <n v="0.42207278481012656"/>
    <n v="135000"/>
  </r>
  <r>
    <s v="ORD-0314"/>
    <x v="189"/>
    <x v="2"/>
    <s v="Phoenix"/>
    <x v="2"/>
    <x v="2"/>
    <x v="2"/>
    <s v="Monitor"/>
    <n v="3"/>
    <n v="255.27"/>
    <n v="765.81"/>
    <n v="186.3"/>
    <n v="558.9"/>
    <n v="206.91"/>
    <n v="0.2701845105182748"/>
    <n v="155000"/>
  </r>
  <r>
    <s v="ORD-0315"/>
    <x v="183"/>
    <x v="0"/>
    <s v="Houston"/>
    <x v="1"/>
    <x v="0"/>
    <x v="1"/>
    <s v="Bookshelf"/>
    <n v="2"/>
    <n v="172.41"/>
    <n v="344.82"/>
    <n v="121.61"/>
    <n v="243.22"/>
    <n v="101.6"/>
    <n v="0.29464648222260886"/>
    <n v="140000"/>
  </r>
  <r>
    <s v="ORD-0316"/>
    <x v="207"/>
    <x v="0"/>
    <s v="San Antonio"/>
    <x v="0"/>
    <x v="0"/>
    <x v="1"/>
    <s v="Standing Desk"/>
    <n v="3"/>
    <n v="608.15"/>
    <n v="1824.45"/>
    <n v="423.77"/>
    <n v="1271.31"/>
    <n v="553.14"/>
    <n v="0.30318178081065528"/>
    <n v="140000"/>
  </r>
  <r>
    <s v="ORD-0317"/>
    <x v="37"/>
    <x v="0"/>
    <s v="Dallas"/>
    <x v="0"/>
    <x v="0"/>
    <x v="0"/>
    <s v="Printer Paper"/>
    <n v="4"/>
    <n v="10.92"/>
    <n v="43.68"/>
    <n v="5.98"/>
    <n v="23.92"/>
    <n v="19.760000000000002"/>
    <n v="0.45238095238095244"/>
    <n v="140000"/>
  </r>
  <r>
    <s v="ORD-0318"/>
    <x v="208"/>
    <x v="2"/>
    <s v="Los Angeles"/>
    <x v="0"/>
    <x v="1"/>
    <x v="1"/>
    <s v="Office Chair"/>
    <n v="4"/>
    <n v="310.64999999999998"/>
    <n v="1242.5999999999999"/>
    <n v="210.34"/>
    <n v="841.36"/>
    <n v="401.24"/>
    <n v="0.32290358924835028"/>
    <n v="155000"/>
  </r>
  <r>
    <s v="ORD-0319"/>
    <x v="185"/>
    <x v="3"/>
    <s v="New York"/>
    <x v="0"/>
    <x v="0"/>
    <x v="0"/>
    <s v="Printer Paper"/>
    <n v="3"/>
    <n v="11.39"/>
    <n v="34.17"/>
    <n v="6.07"/>
    <n v="18.21"/>
    <n v="15.96"/>
    <n v="0.46707638279192276"/>
    <n v="165000"/>
  </r>
  <r>
    <s v="ORD-0320"/>
    <x v="209"/>
    <x v="1"/>
    <s v="Chicago"/>
    <x v="2"/>
    <x v="1"/>
    <x v="2"/>
    <s v="Monitor"/>
    <n v="6"/>
    <n v="238.94"/>
    <n v="1433.64"/>
    <n v="181.02"/>
    <n v="1086.1199999999999"/>
    <n v="347.52"/>
    <n v="0.24240395078262322"/>
    <n v="135000"/>
  </r>
  <r>
    <s v="ORD-0321"/>
    <x v="210"/>
    <x v="2"/>
    <s v="Seattle"/>
    <x v="0"/>
    <x v="0"/>
    <x v="2"/>
    <s v="Laptop"/>
    <n v="8"/>
    <n v="931.97"/>
    <n v="7455.76"/>
    <n v="761.17"/>
    <n v="6089.36"/>
    <n v="1366.4"/>
    <n v="0.18326770175005633"/>
    <n v="155000"/>
  </r>
  <r>
    <s v="ORD-0322"/>
    <x v="211"/>
    <x v="2"/>
    <s v="San Diego"/>
    <x v="1"/>
    <x v="0"/>
    <x v="2"/>
    <s v="Laptop"/>
    <n v="6"/>
    <n v="987.91"/>
    <n v="5927.46"/>
    <n v="741.13"/>
    <n v="4446.78"/>
    <n v="1480.68"/>
    <n v="0.24980008300351247"/>
    <n v="155000"/>
  </r>
  <r>
    <s v="ORD-0323"/>
    <x v="212"/>
    <x v="3"/>
    <s v="New York"/>
    <x v="2"/>
    <x v="0"/>
    <x v="2"/>
    <s v="Monitor"/>
    <n v="2"/>
    <n v="245.74"/>
    <n v="491.48"/>
    <n v="190.5"/>
    <n v="381"/>
    <n v="110.48"/>
    <n v="0.2247904289086026"/>
    <n v="165000"/>
  </r>
  <r>
    <s v="ORD-0324"/>
    <x v="111"/>
    <x v="1"/>
    <s v="Chicago"/>
    <x v="2"/>
    <x v="0"/>
    <x v="2"/>
    <s v="Monitor"/>
    <n v="2"/>
    <n v="236.51"/>
    <n v="473.02"/>
    <n v="176.97"/>
    <n v="353.94"/>
    <n v="119.08"/>
    <n v="0.25174411229969135"/>
    <n v="135000"/>
  </r>
  <r>
    <s v="ORD-0325"/>
    <x v="213"/>
    <x v="1"/>
    <s v="Kansas City"/>
    <x v="0"/>
    <x v="2"/>
    <x v="0"/>
    <s v="Ink Cartridge"/>
    <n v="3"/>
    <n v="43.69"/>
    <n v="131.07"/>
    <n v="23.99"/>
    <n v="71.97"/>
    <n v="59.1"/>
    <n v="0.45090409704737927"/>
    <n v="135000"/>
  </r>
  <r>
    <s v="ORD-0326"/>
    <x v="214"/>
    <x v="0"/>
    <s v="San Antonio"/>
    <x v="0"/>
    <x v="0"/>
    <x v="2"/>
    <s v="Monitor"/>
    <n v="5"/>
    <n v="282.67"/>
    <n v="1413.35"/>
    <n v="189.47"/>
    <n v="947.35"/>
    <n v="466"/>
    <n v="0.32971309300597873"/>
    <n v="140000"/>
  </r>
  <r>
    <s v="ORD-0327"/>
    <x v="215"/>
    <x v="3"/>
    <s v="Philadelphia"/>
    <x v="0"/>
    <x v="0"/>
    <x v="2"/>
    <s v="Laptop"/>
    <n v="3"/>
    <n v="1018.01"/>
    <n v="3054.03"/>
    <n v="733.3"/>
    <n v="2199.9"/>
    <n v="854.13"/>
    <n v="0.27967308769069066"/>
    <n v="165000"/>
  </r>
  <r>
    <s v="ORD-0328"/>
    <x v="3"/>
    <x v="0"/>
    <s v="Dallas"/>
    <x v="1"/>
    <x v="0"/>
    <x v="0"/>
    <s v="Ink Cartridge"/>
    <n v="6"/>
    <n v="46.71"/>
    <n v="280.26"/>
    <n v="23.54"/>
    <n v="141.24"/>
    <n v="139.02000000000001"/>
    <n v="0.49603939199314928"/>
    <n v="140000"/>
  </r>
  <r>
    <s v="ORD-0329"/>
    <x v="166"/>
    <x v="1"/>
    <s v="Kansas City"/>
    <x v="2"/>
    <x v="0"/>
    <x v="2"/>
    <s v="Monitor"/>
    <n v="1"/>
    <n v="246.3"/>
    <n v="246.3"/>
    <n v="188.22"/>
    <n v="188.22"/>
    <n v="58.08"/>
    <n v="0.235809987819732"/>
    <n v="135000"/>
  </r>
  <r>
    <s v="ORD-0330"/>
    <x v="36"/>
    <x v="0"/>
    <s v="Dallas"/>
    <x v="2"/>
    <x v="0"/>
    <x v="0"/>
    <s v="Printer Paper"/>
    <n v="5"/>
    <n v="11.49"/>
    <n v="57.45"/>
    <n v="6.35"/>
    <n v="31.75"/>
    <n v="25.7"/>
    <n v="0.44734551784160137"/>
    <n v="140000"/>
  </r>
  <r>
    <s v="ORD-0331"/>
    <x v="216"/>
    <x v="1"/>
    <s v="Minneapolis"/>
    <x v="0"/>
    <x v="2"/>
    <x v="0"/>
    <s v="Ink Cartridge"/>
    <n v="8"/>
    <n v="38.74"/>
    <n v="309.92"/>
    <n v="24.95"/>
    <n v="199.6"/>
    <n v="110.32"/>
    <n v="0.35596282911719151"/>
    <n v="135000"/>
  </r>
  <r>
    <s v="ORD-0332"/>
    <x v="49"/>
    <x v="0"/>
    <s v="Houston"/>
    <x v="2"/>
    <x v="1"/>
    <x v="0"/>
    <s v="Desk Organizer"/>
    <n v="4"/>
    <n v="30.27"/>
    <n v="121.08"/>
    <n v="14.96"/>
    <n v="59.84"/>
    <n v="61.24"/>
    <n v="0.50578130161876445"/>
    <n v="140000"/>
  </r>
  <r>
    <s v="ORD-0333"/>
    <x v="152"/>
    <x v="0"/>
    <s v="Austin"/>
    <x v="2"/>
    <x v="0"/>
    <x v="0"/>
    <s v="Ink Cartridge"/>
    <n v="4"/>
    <n v="46.14"/>
    <n v="184.56"/>
    <n v="24.1"/>
    <n v="96.4"/>
    <n v="88.16"/>
    <n v="0.47767663632423057"/>
    <n v="140000"/>
  </r>
  <r>
    <s v="ORD-0334"/>
    <x v="217"/>
    <x v="0"/>
    <s v="Austin"/>
    <x v="1"/>
    <x v="1"/>
    <x v="0"/>
    <s v="Printer Paper"/>
    <n v="3"/>
    <n v="13.24"/>
    <n v="39.72"/>
    <n v="6.02"/>
    <n v="18.059999999999999"/>
    <n v="21.66"/>
    <n v="0.54531722054380671"/>
    <n v="140000"/>
  </r>
  <r>
    <s v="ORD-0335"/>
    <x v="218"/>
    <x v="1"/>
    <s v="Chicago"/>
    <x v="1"/>
    <x v="0"/>
    <x v="2"/>
    <s v="Wireless Mouse"/>
    <n v="4"/>
    <n v="38.49"/>
    <n v="153.96"/>
    <n v="17.77"/>
    <n v="71.08"/>
    <n v="82.88"/>
    <n v="0.53832164198493104"/>
    <n v="135000"/>
  </r>
  <r>
    <s v="ORD-0336"/>
    <x v="219"/>
    <x v="2"/>
    <s v="Los Angeles"/>
    <x v="0"/>
    <x v="2"/>
    <x v="2"/>
    <s v="Monitor"/>
    <n v="8"/>
    <n v="257.57"/>
    <n v="2060.56"/>
    <n v="182.71"/>
    <n v="1461.68"/>
    <n v="598.88"/>
    <n v="0.29063943782272783"/>
    <n v="155000"/>
  </r>
  <r>
    <s v="ORD-0337"/>
    <x v="120"/>
    <x v="0"/>
    <s v="Austin"/>
    <x v="1"/>
    <x v="0"/>
    <x v="1"/>
    <s v="Bookshelf"/>
    <n v="4"/>
    <n v="186.98"/>
    <n v="747.92"/>
    <n v="119.62"/>
    <n v="478.48"/>
    <n v="269.44"/>
    <n v="0.36025243341533858"/>
    <n v="140000"/>
  </r>
  <r>
    <s v="ORD-0338"/>
    <x v="56"/>
    <x v="1"/>
    <s v="Kansas City"/>
    <x v="0"/>
    <x v="2"/>
    <x v="2"/>
    <s v="Wireless Mouse"/>
    <n v="6"/>
    <n v="34.49"/>
    <n v="206.94"/>
    <n v="17.600000000000001"/>
    <n v="105.6"/>
    <n v="101.34"/>
    <n v="0.48970716149608584"/>
    <n v="135000"/>
  </r>
  <r>
    <s v="ORD-0339"/>
    <x v="185"/>
    <x v="2"/>
    <s v="Los Angeles"/>
    <x v="2"/>
    <x v="2"/>
    <x v="0"/>
    <s v="Printer Paper"/>
    <n v="8"/>
    <n v="12.2"/>
    <n v="97.6"/>
    <n v="6.22"/>
    <n v="49.76"/>
    <n v="47.84"/>
    <n v="0.49016393442622957"/>
    <n v="155000"/>
  </r>
  <r>
    <s v="ORD-0340"/>
    <x v="220"/>
    <x v="2"/>
    <s v="Los Angeles"/>
    <x v="1"/>
    <x v="0"/>
    <x v="1"/>
    <s v="Bookshelf"/>
    <n v="1"/>
    <n v="192.26"/>
    <n v="192.26"/>
    <n v="121.3"/>
    <n v="121.3"/>
    <n v="70.959999999999994"/>
    <n v="0.3690835327161136"/>
    <n v="155000"/>
  </r>
  <r>
    <s v="ORD-0341"/>
    <x v="169"/>
    <x v="1"/>
    <s v="Kansas City"/>
    <x v="2"/>
    <x v="1"/>
    <x v="0"/>
    <s v="Desk Organizer"/>
    <n v="3"/>
    <n v="26.66"/>
    <n v="79.98"/>
    <n v="14.88"/>
    <n v="44.64"/>
    <n v="35.340000000000003"/>
    <n v="0.44186046511627908"/>
    <n v="135000"/>
  </r>
  <r>
    <s v="ORD-0342"/>
    <x v="221"/>
    <x v="3"/>
    <s v="New York"/>
    <x v="0"/>
    <x v="0"/>
    <x v="0"/>
    <s v="Desk Organizer"/>
    <n v="4"/>
    <n v="30.35"/>
    <n v="121.4"/>
    <n v="15.62"/>
    <n v="62.48"/>
    <n v="58.92"/>
    <n v="0.48533772652388796"/>
    <n v="165000"/>
  </r>
  <r>
    <s v="ORD-0343"/>
    <x v="74"/>
    <x v="3"/>
    <s v="Boston"/>
    <x v="0"/>
    <x v="0"/>
    <x v="2"/>
    <s v="Laptop"/>
    <n v="4"/>
    <n v="859.16"/>
    <n v="3436.64"/>
    <n v="725.62"/>
    <n v="2902.48"/>
    <n v="534.16"/>
    <n v="0.1554308859816565"/>
    <n v="165000"/>
  </r>
  <r>
    <s v="ORD-0344"/>
    <x v="172"/>
    <x v="2"/>
    <s v="San Diego"/>
    <x v="1"/>
    <x v="0"/>
    <x v="2"/>
    <s v="Wireless Mouse"/>
    <n v="1"/>
    <n v="31.67"/>
    <n v="31.67"/>
    <n v="18.34"/>
    <n v="18.34"/>
    <n v="13.33"/>
    <n v="0.420903062835491"/>
    <n v="155000"/>
  </r>
  <r>
    <s v="ORD-0345"/>
    <x v="191"/>
    <x v="0"/>
    <s v="Austin"/>
    <x v="2"/>
    <x v="0"/>
    <x v="1"/>
    <s v="Office Chair"/>
    <n v="2"/>
    <n v="311.69"/>
    <n v="623.38"/>
    <n v="208.37"/>
    <n v="416.74"/>
    <n v="206.64"/>
    <n v="0.33148320446597579"/>
    <n v="140000"/>
  </r>
  <r>
    <s v="ORD-0346"/>
    <x v="31"/>
    <x v="1"/>
    <s v="Minneapolis"/>
    <x v="0"/>
    <x v="0"/>
    <x v="1"/>
    <s v="Bookshelf"/>
    <n v="6"/>
    <n v="170.84"/>
    <n v="1025.04"/>
    <n v="117.17"/>
    <n v="703.02"/>
    <n v="322.02"/>
    <n v="0.31415359400608756"/>
    <n v="135000"/>
  </r>
  <r>
    <s v="ORD-0347"/>
    <x v="222"/>
    <x v="1"/>
    <s v="Kansas City"/>
    <x v="0"/>
    <x v="0"/>
    <x v="0"/>
    <s v="Desk Organizer"/>
    <n v="1"/>
    <n v="31.04"/>
    <n v="31.04"/>
    <n v="15.82"/>
    <n v="15.82"/>
    <n v="15.22"/>
    <n v="0.49033505154639179"/>
    <n v="135000"/>
  </r>
  <r>
    <s v="ORD-0348"/>
    <x v="123"/>
    <x v="0"/>
    <s v="Dallas"/>
    <x v="0"/>
    <x v="1"/>
    <x v="2"/>
    <s v="Laptop"/>
    <n v="2"/>
    <n v="1050.77"/>
    <n v="2101.54"/>
    <n v="701.33"/>
    <n v="1402.66"/>
    <n v="698.88"/>
    <n v="0.33255612550796082"/>
    <n v="140000"/>
  </r>
  <r>
    <s v="ORD-0349"/>
    <x v="184"/>
    <x v="2"/>
    <s v="Seattle"/>
    <x v="2"/>
    <x v="0"/>
    <x v="0"/>
    <s v="Ink Cartridge"/>
    <n v="6"/>
    <n v="41.93"/>
    <n v="251.58"/>
    <n v="23.68"/>
    <n v="142.08000000000001"/>
    <n v="109.5"/>
    <n v="0.4352492248986406"/>
    <n v="155000"/>
  </r>
  <r>
    <s v="ORD-0350"/>
    <x v="223"/>
    <x v="0"/>
    <s v="Austin"/>
    <x v="1"/>
    <x v="0"/>
    <x v="0"/>
    <s v="Printer Paper"/>
    <n v="1"/>
    <n v="11.82"/>
    <n v="11.82"/>
    <n v="6.2"/>
    <n v="6.2"/>
    <n v="5.62"/>
    <n v="0.47546531302876482"/>
    <n v="140000"/>
  </r>
  <r>
    <s v="ORD-0351"/>
    <x v="24"/>
    <x v="1"/>
    <s v="Minneapolis"/>
    <x v="2"/>
    <x v="0"/>
    <x v="1"/>
    <s v="Office Chair"/>
    <n v="2"/>
    <n v="346.35"/>
    <n v="692.7"/>
    <n v="218.16"/>
    <n v="436.32"/>
    <n v="256.38"/>
    <n v="0.37011693373754867"/>
    <n v="135000"/>
  </r>
  <r>
    <s v="ORD-0352"/>
    <x v="224"/>
    <x v="2"/>
    <s v="San Diego"/>
    <x v="0"/>
    <x v="2"/>
    <x v="0"/>
    <s v="Printer Paper"/>
    <n v="5"/>
    <n v="10.85"/>
    <n v="54.25"/>
    <n v="5.92"/>
    <n v="29.6"/>
    <n v="24.65"/>
    <n v="0.45437788018433178"/>
    <n v="155000"/>
  </r>
  <r>
    <s v="ORD-0353"/>
    <x v="225"/>
    <x v="0"/>
    <s v="Austin"/>
    <x v="1"/>
    <x v="0"/>
    <x v="0"/>
    <s v="Ink Cartridge"/>
    <n v="2"/>
    <n v="40.92"/>
    <n v="81.84"/>
    <n v="25.4"/>
    <n v="50.8"/>
    <n v="31.04"/>
    <n v="0.37927663734115347"/>
    <n v="140000"/>
  </r>
  <r>
    <s v="ORD-0354"/>
    <x v="83"/>
    <x v="0"/>
    <s v="San Antonio"/>
    <x v="2"/>
    <x v="0"/>
    <x v="1"/>
    <s v="Office Chair"/>
    <n v="3"/>
    <n v="291.77"/>
    <n v="875.31"/>
    <n v="208.55"/>
    <n v="625.65"/>
    <n v="249.66"/>
    <n v="0.28522466326215856"/>
    <n v="140000"/>
  </r>
  <r>
    <s v="ORD-0355"/>
    <x v="63"/>
    <x v="1"/>
    <s v="Kansas City"/>
    <x v="0"/>
    <x v="0"/>
    <x v="0"/>
    <s v="Ink Cartridge"/>
    <n v="1"/>
    <n v="41.43"/>
    <n v="41.43"/>
    <n v="24.36"/>
    <n v="24.36"/>
    <n v="17.07"/>
    <n v="0.41202027516292544"/>
    <n v="135000"/>
  </r>
  <r>
    <s v="ORD-0356"/>
    <x v="226"/>
    <x v="2"/>
    <s v="Los Angeles"/>
    <x v="1"/>
    <x v="0"/>
    <x v="2"/>
    <s v="Monitor"/>
    <n v="8"/>
    <n v="245.42"/>
    <n v="1963.36"/>
    <n v="173.26"/>
    <n v="1386.08"/>
    <n v="577.28"/>
    <n v="0.2940265667019803"/>
    <n v="155000"/>
  </r>
  <r>
    <s v="ORD-0357"/>
    <x v="143"/>
    <x v="3"/>
    <s v="New York"/>
    <x v="0"/>
    <x v="0"/>
    <x v="1"/>
    <s v="Office Chair"/>
    <n v="8"/>
    <n v="322.43"/>
    <n v="2579.44"/>
    <n v="215.48"/>
    <n v="1723.84"/>
    <n v="855.6"/>
    <n v="0.33169990385510034"/>
    <n v="165000"/>
  </r>
  <r>
    <s v="ORD-0358"/>
    <x v="227"/>
    <x v="1"/>
    <s v="Denver"/>
    <x v="1"/>
    <x v="0"/>
    <x v="0"/>
    <s v="Desk Organizer"/>
    <n v="8"/>
    <n v="25.47"/>
    <n v="203.76"/>
    <n v="15.06"/>
    <n v="120.48"/>
    <n v="83.28"/>
    <n v="0.408716136631331"/>
    <n v="135000"/>
  </r>
  <r>
    <s v="ORD-0359"/>
    <x v="198"/>
    <x v="2"/>
    <s v="Seattle"/>
    <x v="0"/>
    <x v="0"/>
    <x v="0"/>
    <s v="Ink Cartridge"/>
    <n v="2"/>
    <n v="43.97"/>
    <n v="87.94"/>
    <n v="24.98"/>
    <n v="49.96"/>
    <n v="37.979999999999997"/>
    <n v="0.43188537639299518"/>
    <n v="155000"/>
  </r>
  <r>
    <s v="ORD-0360"/>
    <x v="38"/>
    <x v="2"/>
    <s v="Los Angeles"/>
    <x v="2"/>
    <x v="1"/>
    <x v="1"/>
    <s v="Office Chair"/>
    <n v="8"/>
    <n v="328.32"/>
    <n v="2626.56"/>
    <n v="206.55"/>
    <n v="1652.4"/>
    <n v="974.16"/>
    <n v="0.37088815789473684"/>
    <n v="155000"/>
  </r>
  <r>
    <s v="ORD-0361"/>
    <x v="228"/>
    <x v="0"/>
    <s v="San Antonio"/>
    <x v="2"/>
    <x v="2"/>
    <x v="1"/>
    <s v="Bookshelf"/>
    <n v="3"/>
    <n v="166.76"/>
    <n v="500.28"/>
    <n v="119.11"/>
    <n v="357.33"/>
    <n v="142.94999999999999"/>
    <n v="0.28573998560805947"/>
    <n v="140000"/>
  </r>
  <r>
    <s v="ORD-0362"/>
    <x v="229"/>
    <x v="2"/>
    <s v="San Diego"/>
    <x v="2"/>
    <x v="0"/>
    <x v="1"/>
    <s v="Office Chair"/>
    <n v="2"/>
    <n v="357.57"/>
    <n v="715.14"/>
    <n v="210.74"/>
    <n v="421.48"/>
    <n v="293.66000000000003"/>
    <n v="0.41063288307184609"/>
    <n v="155000"/>
  </r>
  <r>
    <s v="ORD-0363"/>
    <x v="207"/>
    <x v="2"/>
    <s v="Seattle"/>
    <x v="1"/>
    <x v="2"/>
    <x v="0"/>
    <s v="Ink Cartridge"/>
    <n v="2"/>
    <n v="41.39"/>
    <n v="82.78"/>
    <n v="23.99"/>
    <n v="47.98"/>
    <n v="34.799999999999997"/>
    <n v="0.42039139888862043"/>
    <n v="155000"/>
  </r>
  <r>
    <s v="ORD-0364"/>
    <x v="230"/>
    <x v="3"/>
    <s v="Miami"/>
    <x v="2"/>
    <x v="0"/>
    <x v="1"/>
    <s v="Bookshelf"/>
    <n v="7"/>
    <n v="166.46"/>
    <n v="1165.22"/>
    <n v="112.12"/>
    <n v="784.84"/>
    <n v="380.38"/>
    <n v="0.32644479154151146"/>
    <n v="165000"/>
  </r>
  <r>
    <s v="ORD-0365"/>
    <x v="179"/>
    <x v="0"/>
    <s v="Houston"/>
    <x v="0"/>
    <x v="0"/>
    <x v="2"/>
    <s v="Monitor"/>
    <n v="6"/>
    <n v="284.22000000000003"/>
    <n v="1705.32"/>
    <n v="177.55"/>
    <n v="1065.3"/>
    <n v="640.02"/>
    <n v="0.37530786010836675"/>
    <n v="140000"/>
  </r>
  <r>
    <s v="ORD-0366"/>
    <x v="104"/>
    <x v="1"/>
    <s v="Minneapolis"/>
    <x v="1"/>
    <x v="0"/>
    <x v="0"/>
    <s v="Desk Organizer"/>
    <n v="7"/>
    <n v="25.44"/>
    <n v="178.08"/>
    <n v="15.73"/>
    <n v="110.11"/>
    <n v="67.97"/>
    <n v="0.3816823899371069"/>
    <n v="135000"/>
  </r>
  <r>
    <s v="ORD-0367"/>
    <x v="172"/>
    <x v="2"/>
    <s v="Los Angeles"/>
    <x v="0"/>
    <x v="1"/>
    <x v="2"/>
    <s v="Wireless Mouse"/>
    <n v="1"/>
    <n v="34.1"/>
    <n v="34.1"/>
    <n v="18.71"/>
    <n v="18.71"/>
    <n v="15.39"/>
    <n v="0.45131964809384162"/>
    <n v="155000"/>
  </r>
  <r>
    <s v="ORD-0368"/>
    <x v="231"/>
    <x v="3"/>
    <s v="Miami"/>
    <x v="2"/>
    <x v="2"/>
    <x v="2"/>
    <s v="Laptop"/>
    <n v="3"/>
    <n v="917.8"/>
    <n v="2753.4"/>
    <n v="744.75"/>
    <n v="2234.25"/>
    <n v="519.15"/>
    <n v="0.18854870342122465"/>
    <n v="165000"/>
  </r>
  <r>
    <s v="ORD-0369"/>
    <x v="232"/>
    <x v="3"/>
    <s v="Miami"/>
    <x v="0"/>
    <x v="0"/>
    <x v="1"/>
    <s v="Standing Desk"/>
    <n v="4"/>
    <n v="682.59"/>
    <n v="2730.36"/>
    <n v="430.31"/>
    <n v="1721.24"/>
    <n v="1009.12"/>
    <n v="0.36959228819642831"/>
    <n v="165000"/>
  </r>
  <r>
    <s v="ORD-0370"/>
    <x v="124"/>
    <x v="3"/>
    <s v="New York"/>
    <x v="0"/>
    <x v="0"/>
    <x v="2"/>
    <s v="Monitor"/>
    <n v="7"/>
    <n v="241.76"/>
    <n v="1692.32"/>
    <n v="188.12"/>
    <n v="1316.84"/>
    <n v="375.48"/>
    <n v="0.22187293183322304"/>
    <n v="165000"/>
  </r>
  <r>
    <s v="ORD-0371"/>
    <x v="233"/>
    <x v="0"/>
    <s v="Dallas"/>
    <x v="1"/>
    <x v="1"/>
    <x v="0"/>
    <s v="Printer Paper"/>
    <n v="4"/>
    <n v="10.89"/>
    <n v="43.56"/>
    <n v="5.79"/>
    <n v="23.16"/>
    <n v="20.399999999999999"/>
    <n v="0.4683195592286501"/>
    <n v="140000"/>
  </r>
  <r>
    <s v="ORD-0372"/>
    <x v="132"/>
    <x v="2"/>
    <s v="Seattle"/>
    <x v="1"/>
    <x v="2"/>
    <x v="1"/>
    <s v="Office Chair"/>
    <n v="2"/>
    <n v="335.95"/>
    <n v="671.9"/>
    <n v="206.68"/>
    <n v="413.36"/>
    <n v="258.54000000000002"/>
    <n v="0.38478940318499782"/>
    <n v="155000"/>
  </r>
  <r>
    <s v="ORD-0373"/>
    <x v="234"/>
    <x v="1"/>
    <s v="Denver"/>
    <x v="2"/>
    <x v="2"/>
    <x v="1"/>
    <s v="Bookshelf"/>
    <n v="6"/>
    <n v="175.63"/>
    <n v="1053.78"/>
    <n v="120.03"/>
    <n v="720.18"/>
    <n v="333.6"/>
    <n v="0.31657461709275186"/>
    <n v="135000"/>
  </r>
  <r>
    <s v="ORD-0374"/>
    <x v="235"/>
    <x v="0"/>
    <s v="Austin"/>
    <x v="1"/>
    <x v="0"/>
    <x v="2"/>
    <s v="Laptop"/>
    <n v="4"/>
    <n v="990.3"/>
    <n v="3961.2"/>
    <n v="739.99"/>
    <n v="2959.96"/>
    <n v="1001.24"/>
    <n v="0.25276178935676058"/>
    <n v="140000"/>
  </r>
  <r>
    <s v="ORD-0375"/>
    <x v="183"/>
    <x v="1"/>
    <s v="Chicago"/>
    <x v="2"/>
    <x v="1"/>
    <x v="0"/>
    <s v="Printer Paper"/>
    <n v="8"/>
    <n v="13.21"/>
    <n v="105.68"/>
    <n v="6.15"/>
    <n v="49.2"/>
    <n v="56.48"/>
    <n v="0.53444360333080998"/>
    <n v="135000"/>
  </r>
  <r>
    <s v="ORD-0376"/>
    <x v="236"/>
    <x v="0"/>
    <s v="Dallas"/>
    <x v="1"/>
    <x v="1"/>
    <x v="2"/>
    <s v="Monitor"/>
    <n v="5"/>
    <n v="258.24"/>
    <n v="1291.2"/>
    <n v="179.58"/>
    <n v="897.9"/>
    <n v="393.3"/>
    <n v="0.30460037174721188"/>
    <n v="140000"/>
  </r>
  <r>
    <s v="ORD-0377"/>
    <x v="237"/>
    <x v="1"/>
    <s v="Kansas City"/>
    <x v="1"/>
    <x v="0"/>
    <x v="1"/>
    <s v="Bookshelf"/>
    <n v="7"/>
    <n v="185.15"/>
    <n v="1296.05"/>
    <n v="110.48"/>
    <n v="773.36"/>
    <n v="522.69000000000005"/>
    <n v="0.40329462597893606"/>
    <n v="135000"/>
  </r>
  <r>
    <s v="ORD-0378"/>
    <x v="32"/>
    <x v="3"/>
    <s v="Philadelphia"/>
    <x v="1"/>
    <x v="0"/>
    <x v="0"/>
    <s v="Ink Cartridge"/>
    <n v="6"/>
    <n v="46.93"/>
    <n v="281.58"/>
    <n v="24.58"/>
    <n v="147.47999999999999"/>
    <n v="134.1"/>
    <n v="0.47624121031323247"/>
    <n v="165000"/>
  </r>
  <r>
    <s v="ORD-0379"/>
    <x v="238"/>
    <x v="3"/>
    <s v="Philadelphia"/>
    <x v="1"/>
    <x v="2"/>
    <x v="2"/>
    <s v="Laptop"/>
    <n v="1"/>
    <n v="1023.33"/>
    <n v="1023.33"/>
    <n v="748.97"/>
    <n v="748.97"/>
    <n v="274.36"/>
    <n v="0.26810510783422747"/>
    <n v="165000"/>
  </r>
  <r>
    <s v="ORD-0380"/>
    <x v="236"/>
    <x v="1"/>
    <s v="Kansas City"/>
    <x v="0"/>
    <x v="2"/>
    <x v="1"/>
    <s v="Standing Desk"/>
    <n v="5"/>
    <n v="593.39"/>
    <n v="2966.95"/>
    <n v="430.8"/>
    <n v="2154"/>
    <n v="812.95"/>
    <n v="0.27400192116483263"/>
    <n v="135000"/>
  </r>
  <r>
    <s v="ORD-0381"/>
    <x v="239"/>
    <x v="0"/>
    <s v="Dallas"/>
    <x v="1"/>
    <x v="2"/>
    <x v="1"/>
    <s v="Bookshelf"/>
    <n v="8"/>
    <n v="197.9"/>
    <n v="1583.2"/>
    <n v="118.13"/>
    <n v="945.04"/>
    <n v="638.16"/>
    <n v="0.40308236483072257"/>
    <n v="140000"/>
  </r>
  <r>
    <s v="ORD-0382"/>
    <x v="240"/>
    <x v="3"/>
    <s v="Boston"/>
    <x v="2"/>
    <x v="1"/>
    <x v="0"/>
    <s v="Desk Organizer"/>
    <n v="5"/>
    <n v="25.8"/>
    <n v="129"/>
    <n v="14.59"/>
    <n v="72.95"/>
    <n v="56.05"/>
    <n v="0.43449612403100774"/>
    <n v="165000"/>
  </r>
  <r>
    <s v="ORD-0383"/>
    <x v="235"/>
    <x v="2"/>
    <s v="Seattle"/>
    <x v="0"/>
    <x v="0"/>
    <x v="2"/>
    <s v="Laptop"/>
    <n v="5"/>
    <n v="942.88"/>
    <n v="4714.3999999999996"/>
    <n v="755.05"/>
    <n v="3775.25"/>
    <n v="939.15"/>
    <n v="0.19920880705922281"/>
    <n v="155000"/>
  </r>
  <r>
    <s v="ORD-0384"/>
    <x v="241"/>
    <x v="3"/>
    <s v="Philadelphia"/>
    <x v="0"/>
    <x v="0"/>
    <x v="0"/>
    <s v="Printer Paper"/>
    <n v="2"/>
    <n v="12.05"/>
    <n v="24.1"/>
    <n v="5.88"/>
    <n v="11.76"/>
    <n v="12.34"/>
    <n v="0.51203319502074685"/>
    <n v="165000"/>
  </r>
  <r>
    <s v="ORD-0385"/>
    <x v="66"/>
    <x v="1"/>
    <s v="Kansas City"/>
    <x v="1"/>
    <x v="1"/>
    <x v="0"/>
    <s v="Desk Organizer"/>
    <n v="3"/>
    <n v="31.31"/>
    <n v="93.93"/>
    <n v="14.91"/>
    <n v="44.73"/>
    <n v="49.2"/>
    <n v="0.52379431491536255"/>
    <n v="135000"/>
  </r>
  <r>
    <s v="ORD-0386"/>
    <x v="233"/>
    <x v="1"/>
    <s v="Denver"/>
    <x v="1"/>
    <x v="2"/>
    <x v="0"/>
    <s v="Ink Cartridge"/>
    <n v="8"/>
    <n v="40.869999999999997"/>
    <n v="326.95999999999998"/>
    <n v="25.41"/>
    <n v="203.28"/>
    <n v="123.68"/>
    <n v="0.37827257156838762"/>
    <n v="135000"/>
  </r>
  <r>
    <s v="ORD-0387"/>
    <x v="105"/>
    <x v="0"/>
    <s v="Houston"/>
    <x v="0"/>
    <x v="0"/>
    <x v="0"/>
    <s v="Desk Organizer"/>
    <n v="3"/>
    <n v="28.22"/>
    <n v="84.66"/>
    <n v="15.55"/>
    <n v="46.65"/>
    <n v="38.01"/>
    <n v="0.44897236002834867"/>
    <n v="140000"/>
  </r>
  <r>
    <s v="ORD-0388"/>
    <x v="117"/>
    <x v="2"/>
    <s v="Phoenix"/>
    <x v="0"/>
    <x v="0"/>
    <x v="1"/>
    <s v="Standing Desk"/>
    <n v="7"/>
    <n v="558.64"/>
    <n v="3910.48"/>
    <n v="435.75"/>
    <n v="3050.25"/>
    <n v="860.23"/>
    <n v="0.21998066733495633"/>
    <n v="155000"/>
  </r>
  <r>
    <s v="ORD-0389"/>
    <x v="130"/>
    <x v="0"/>
    <s v="Austin"/>
    <x v="2"/>
    <x v="2"/>
    <x v="0"/>
    <s v="Printer Paper"/>
    <n v="1"/>
    <n v="12.45"/>
    <n v="12.45"/>
    <n v="5.91"/>
    <n v="5.91"/>
    <n v="6.54"/>
    <n v="0.52530120481927711"/>
    <n v="140000"/>
  </r>
  <r>
    <s v="ORD-0390"/>
    <x v="109"/>
    <x v="3"/>
    <s v="Philadelphia"/>
    <x v="1"/>
    <x v="0"/>
    <x v="2"/>
    <s v="Monitor"/>
    <n v="3"/>
    <n v="237.73"/>
    <n v="713.19"/>
    <n v="173.62"/>
    <n v="520.86"/>
    <n v="192.33"/>
    <n v="0.26967568249695034"/>
    <n v="165000"/>
  </r>
  <r>
    <s v="ORD-0391"/>
    <x v="155"/>
    <x v="1"/>
    <s v="Kansas City"/>
    <x v="1"/>
    <x v="2"/>
    <x v="0"/>
    <s v="Desk Organizer"/>
    <n v="6"/>
    <n v="31.34"/>
    <n v="188.04"/>
    <n v="15.14"/>
    <n v="90.84"/>
    <n v="97.2"/>
    <n v="0.51691129546904913"/>
    <n v="135000"/>
  </r>
  <r>
    <s v="ORD-0392"/>
    <x v="242"/>
    <x v="2"/>
    <s v="Phoenix"/>
    <x v="1"/>
    <x v="0"/>
    <x v="0"/>
    <s v="Desk Organizer"/>
    <n v="4"/>
    <n v="29.72"/>
    <n v="118.88"/>
    <n v="15.28"/>
    <n v="61.12"/>
    <n v="57.76"/>
    <n v="0.48586810228802152"/>
    <n v="155000"/>
  </r>
  <r>
    <s v="ORD-0393"/>
    <x v="175"/>
    <x v="0"/>
    <s v="Austin"/>
    <x v="0"/>
    <x v="2"/>
    <x v="1"/>
    <s v="Office Chair"/>
    <n v="5"/>
    <n v="342.3"/>
    <n v="1711.5"/>
    <n v="214.69"/>
    <n v="1073.45"/>
    <n v="638.04999999999995"/>
    <n v="0.37280163599182004"/>
    <n v="140000"/>
  </r>
  <r>
    <s v="ORD-0394"/>
    <x v="243"/>
    <x v="0"/>
    <s v="Houston"/>
    <x v="0"/>
    <x v="0"/>
    <x v="0"/>
    <s v="Ink Cartridge"/>
    <n v="7"/>
    <n v="41.91"/>
    <n v="293.37"/>
    <n v="23.34"/>
    <n v="163.38"/>
    <n v="129.99"/>
    <n v="0.44309234073013604"/>
    <n v="140000"/>
  </r>
  <r>
    <s v="ORD-0395"/>
    <x v="244"/>
    <x v="1"/>
    <s v="Denver"/>
    <x v="1"/>
    <x v="2"/>
    <x v="0"/>
    <s v="Printer Paper"/>
    <n v="5"/>
    <n v="11.91"/>
    <n v="59.55"/>
    <n v="5.82"/>
    <n v="29.1"/>
    <n v="30.45"/>
    <n v="0.51133501259445846"/>
    <n v="135000"/>
  </r>
  <r>
    <s v="ORD-0396"/>
    <x v="213"/>
    <x v="3"/>
    <s v="Boston"/>
    <x v="1"/>
    <x v="1"/>
    <x v="1"/>
    <s v="Bookshelf"/>
    <n v="2"/>
    <n v="173.2"/>
    <n v="346.4"/>
    <n v="119.42"/>
    <n v="238.84"/>
    <n v="107.56"/>
    <n v="0.31050808314087763"/>
    <n v="165000"/>
  </r>
  <r>
    <s v="ORD-0397"/>
    <x v="115"/>
    <x v="2"/>
    <s v="San Diego"/>
    <x v="2"/>
    <x v="1"/>
    <x v="2"/>
    <s v="Laptop"/>
    <n v="6"/>
    <n v="1002.02"/>
    <n v="6012.12"/>
    <n v="712.47"/>
    <n v="4274.82"/>
    <n v="1737.3"/>
    <n v="0.28896628809804198"/>
    <n v="155000"/>
  </r>
  <r>
    <s v="ORD-0398"/>
    <x v="245"/>
    <x v="1"/>
    <s v="Denver"/>
    <x v="0"/>
    <x v="2"/>
    <x v="2"/>
    <s v="Laptop"/>
    <n v="1"/>
    <n v="857.66"/>
    <n v="857.66"/>
    <n v="697.61"/>
    <n v="697.61"/>
    <n v="160.05000000000001"/>
    <n v="0.18661241051232424"/>
    <n v="135000"/>
  </r>
  <r>
    <s v="ORD-0399"/>
    <x v="246"/>
    <x v="1"/>
    <s v="Denver"/>
    <x v="2"/>
    <x v="2"/>
    <x v="0"/>
    <s v="Ink Cartridge"/>
    <n v="2"/>
    <n v="46.16"/>
    <n v="92.32"/>
    <n v="24.59"/>
    <n v="49.18"/>
    <n v="43.14"/>
    <n v="0.46728769497400352"/>
    <n v="135000"/>
  </r>
  <r>
    <s v="ORD-0400"/>
    <x v="200"/>
    <x v="3"/>
    <s v="Philadelphia"/>
    <x v="0"/>
    <x v="0"/>
    <x v="0"/>
    <s v="Desk Organizer"/>
    <n v="1"/>
    <n v="30.45"/>
    <n v="30.45"/>
    <n v="14.94"/>
    <n v="14.94"/>
    <n v="15.51"/>
    <n v="0.50935960591133"/>
    <n v="165000"/>
  </r>
  <r>
    <s v="ORD-0401"/>
    <x v="192"/>
    <x v="3"/>
    <s v="Miami"/>
    <x v="0"/>
    <x v="0"/>
    <x v="0"/>
    <s v="Printer Paper"/>
    <n v="1"/>
    <n v="13.05"/>
    <n v="13.05"/>
    <n v="6.16"/>
    <n v="6.16"/>
    <n v="6.89"/>
    <n v="0.5279693486590038"/>
    <n v="165000"/>
  </r>
  <r>
    <s v="ORD-0402"/>
    <x v="143"/>
    <x v="3"/>
    <s v="Philadelphia"/>
    <x v="2"/>
    <x v="1"/>
    <x v="2"/>
    <s v="Monitor"/>
    <n v="2"/>
    <n v="255.31"/>
    <n v="510.62"/>
    <n v="178.97"/>
    <n v="357.94"/>
    <n v="152.68"/>
    <n v="0.29900904782421373"/>
    <n v="165000"/>
  </r>
  <r>
    <s v="ORD-0403"/>
    <x v="247"/>
    <x v="1"/>
    <s v="Minneapolis"/>
    <x v="2"/>
    <x v="0"/>
    <x v="1"/>
    <s v="Office Chair"/>
    <n v="8"/>
    <n v="344.31"/>
    <n v="2754.48"/>
    <n v="215.23"/>
    <n v="1721.84"/>
    <n v="1032.6400000000001"/>
    <n v="0.37489471697017224"/>
    <n v="135000"/>
  </r>
  <r>
    <s v="ORD-0404"/>
    <x v="24"/>
    <x v="0"/>
    <s v="Dallas"/>
    <x v="0"/>
    <x v="0"/>
    <x v="0"/>
    <s v="Desk Organizer"/>
    <n v="2"/>
    <n v="27.76"/>
    <n v="55.52"/>
    <n v="15.29"/>
    <n v="30.58"/>
    <n v="24.94"/>
    <n v="0.44920749279538907"/>
    <n v="140000"/>
  </r>
  <r>
    <s v="ORD-0405"/>
    <x v="233"/>
    <x v="1"/>
    <s v="Denver"/>
    <x v="0"/>
    <x v="2"/>
    <x v="0"/>
    <s v="Printer Paper"/>
    <n v="3"/>
    <n v="12.08"/>
    <n v="36.24"/>
    <n v="6.05"/>
    <n v="18.149999999999999"/>
    <n v="18.09"/>
    <n v="0.49917218543046354"/>
    <n v="135000"/>
  </r>
  <r>
    <s v="ORD-0406"/>
    <x v="178"/>
    <x v="1"/>
    <s v="Chicago"/>
    <x v="1"/>
    <x v="2"/>
    <x v="0"/>
    <s v="Printer Paper"/>
    <n v="4"/>
    <n v="13.38"/>
    <n v="53.52"/>
    <n v="6.16"/>
    <n v="24.64"/>
    <n v="28.88"/>
    <n v="0.5396113602391629"/>
    <n v="135000"/>
  </r>
  <r>
    <s v="ORD-0407"/>
    <x v="86"/>
    <x v="0"/>
    <s v="San Antonio"/>
    <x v="0"/>
    <x v="0"/>
    <x v="2"/>
    <s v="Wireless Mouse"/>
    <n v="7"/>
    <n v="32.64"/>
    <n v="228.48"/>
    <n v="18.77"/>
    <n v="131.38999999999999"/>
    <n v="97.09"/>
    <n v="0.42493872549019612"/>
    <n v="140000"/>
  </r>
  <r>
    <s v="ORD-0408"/>
    <x v="50"/>
    <x v="0"/>
    <s v="Houston"/>
    <x v="0"/>
    <x v="0"/>
    <x v="1"/>
    <s v="Standing Desk"/>
    <n v="8"/>
    <n v="676.59"/>
    <n v="5412.72"/>
    <n v="416.02"/>
    <n v="3328.16"/>
    <n v="2084.56"/>
    <n v="0.38512245229755093"/>
    <n v="140000"/>
  </r>
  <r>
    <s v="ORD-0409"/>
    <x v="226"/>
    <x v="3"/>
    <s v="Boston"/>
    <x v="1"/>
    <x v="0"/>
    <x v="1"/>
    <s v="Bookshelf"/>
    <n v="4"/>
    <n v="183.8"/>
    <n v="735.2"/>
    <n v="114.75"/>
    <n v="459"/>
    <n v="276.2"/>
    <n v="0.37568008705114253"/>
    <n v="165000"/>
  </r>
  <r>
    <s v="ORD-0410"/>
    <x v="248"/>
    <x v="0"/>
    <s v="San Antonio"/>
    <x v="1"/>
    <x v="2"/>
    <x v="0"/>
    <s v="Ink Cartridge"/>
    <n v="8"/>
    <n v="41.93"/>
    <n v="335.44"/>
    <n v="23.32"/>
    <n v="186.56"/>
    <n v="148.88"/>
    <n v="0.44383496303362746"/>
    <n v="140000"/>
  </r>
  <r>
    <s v="ORD-0411"/>
    <x v="115"/>
    <x v="0"/>
    <s v="Houston"/>
    <x v="1"/>
    <x v="0"/>
    <x v="1"/>
    <s v="Bookshelf"/>
    <n v="1"/>
    <n v="194.71"/>
    <n v="194.71"/>
    <n v="119.51"/>
    <n v="119.51"/>
    <n v="75.2"/>
    <n v="0.38621539725745979"/>
    <n v="140000"/>
  </r>
  <r>
    <s v="ORD-0412"/>
    <x v="112"/>
    <x v="3"/>
    <s v="Boston"/>
    <x v="0"/>
    <x v="2"/>
    <x v="2"/>
    <s v="Wireless Mouse"/>
    <n v="6"/>
    <n v="37.85"/>
    <n v="227.1"/>
    <n v="18.75"/>
    <n v="112.5"/>
    <n v="114.6"/>
    <n v="0.50462351387054161"/>
    <n v="165000"/>
  </r>
  <r>
    <s v="ORD-0413"/>
    <x v="78"/>
    <x v="3"/>
    <s v="Miami"/>
    <x v="0"/>
    <x v="0"/>
    <x v="1"/>
    <s v="Standing Desk"/>
    <n v="2"/>
    <n v="571.29"/>
    <n v="1142.58"/>
    <n v="441.13"/>
    <n v="882.26"/>
    <n v="260.32"/>
    <n v="0.22783525004813668"/>
    <n v="165000"/>
  </r>
  <r>
    <s v="ORD-0414"/>
    <x v="167"/>
    <x v="3"/>
    <s v="Philadelphia"/>
    <x v="2"/>
    <x v="1"/>
    <x v="2"/>
    <s v="Monitor"/>
    <n v="6"/>
    <n v="274.16000000000003"/>
    <n v="1644.96"/>
    <n v="173.62"/>
    <n v="1041.72"/>
    <n v="603.24"/>
    <n v="0.36672016340822877"/>
    <n v="165000"/>
  </r>
  <r>
    <s v="ORD-0415"/>
    <x v="73"/>
    <x v="1"/>
    <s v="Denver"/>
    <x v="2"/>
    <x v="2"/>
    <x v="1"/>
    <s v="Office Chair"/>
    <n v="2"/>
    <n v="305.89999999999998"/>
    <n v="611.79999999999995"/>
    <n v="205.71"/>
    <n v="411.42"/>
    <n v="200.38"/>
    <n v="0.32752533507682252"/>
    <n v="135000"/>
  </r>
  <r>
    <s v="ORD-0416"/>
    <x v="66"/>
    <x v="1"/>
    <s v="Denver"/>
    <x v="0"/>
    <x v="2"/>
    <x v="2"/>
    <s v="Wireless Mouse"/>
    <n v="2"/>
    <n v="37.33"/>
    <n v="74.66"/>
    <n v="17.36"/>
    <n v="34.72"/>
    <n v="39.94"/>
    <n v="0.53495847843557465"/>
    <n v="135000"/>
  </r>
  <r>
    <s v="ORD-0417"/>
    <x v="205"/>
    <x v="0"/>
    <s v="San Antonio"/>
    <x v="0"/>
    <x v="2"/>
    <x v="1"/>
    <s v="Bookshelf"/>
    <n v="3"/>
    <n v="200.17"/>
    <n v="600.51"/>
    <n v="110.45"/>
    <n v="331.35"/>
    <n v="269.16000000000003"/>
    <n v="0.44821901383823753"/>
    <n v="140000"/>
  </r>
  <r>
    <s v="ORD-0418"/>
    <x v="11"/>
    <x v="1"/>
    <s v="Minneapolis"/>
    <x v="2"/>
    <x v="2"/>
    <x v="0"/>
    <s v="Desk Organizer"/>
    <n v="3"/>
    <n v="29.7"/>
    <n v="89.1"/>
    <n v="14.59"/>
    <n v="43.77"/>
    <n v="45.33"/>
    <n v="0.50875420875420874"/>
    <n v="135000"/>
  </r>
  <r>
    <s v="ORD-0419"/>
    <x v="239"/>
    <x v="3"/>
    <s v="Miami"/>
    <x v="1"/>
    <x v="2"/>
    <x v="2"/>
    <s v="Laptop"/>
    <n v="5"/>
    <n v="938.15"/>
    <n v="4690.75"/>
    <n v="715.89"/>
    <n v="3579.45"/>
    <n v="1111.3"/>
    <n v="0.2369130736023024"/>
    <n v="165000"/>
  </r>
  <r>
    <s v="ORD-0420"/>
    <x v="13"/>
    <x v="1"/>
    <s v="Denver"/>
    <x v="1"/>
    <x v="2"/>
    <x v="1"/>
    <s v="Bookshelf"/>
    <n v="5"/>
    <n v="195.39"/>
    <n v="976.95"/>
    <n v="116.7"/>
    <n v="583.5"/>
    <n v="393.45"/>
    <n v="0.4027329955473668"/>
    <n v="135000"/>
  </r>
  <r>
    <s v="ORD-0421"/>
    <x v="105"/>
    <x v="2"/>
    <s v="San Diego"/>
    <x v="1"/>
    <x v="2"/>
    <x v="2"/>
    <s v="Wireless Mouse"/>
    <n v="3"/>
    <n v="39.06"/>
    <n v="117.18"/>
    <n v="18.45"/>
    <n v="55.35"/>
    <n v="61.83"/>
    <n v="0.52764976958525345"/>
    <n v="155000"/>
  </r>
  <r>
    <s v="ORD-0422"/>
    <x v="249"/>
    <x v="3"/>
    <s v="New York"/>
    <x v="2"/>
    <x v="2"/>
    <x v="1"/>
    <s v="Office Chair"/>
    <n v="5"/>
    <n v="349.77"/>
    <n v="1748.85"/>
    <n v="210.47"/>
    <n v="1052.3499999999999"/>
    <n v="696.5"/>
    <n v="0.39826171484118139"/>
    <n v="165000"/>
  </r>
  <r>
    <s v="ORD-0423"/>
    <x v="250"/>
    <x v="0"/>
    <s v="Houston"/>
    <x v="1"/>
    <x v="0"/>
    <x v="0"/>
    <s v="Printer Paper"/>
    <n v="4"/>
    <n v="11.5"/>
    <n v="46"/>
    <n v="6.23"/>
    <n v="24.92"/>
    <n v="21.08"/>
    <n v="0.45826086956521733"/>
    <n v="140000"/>
  </r>
  <r>
    <s v="ORD-0424"/>
    <x v="251"/>
    <x v="3"/>
    <s v="Boston"/>
    <x v="2"/>
    <x v="2"/>
    <x v="2"/>
    <s v="Monitor"/>
    <n v="4"/>
    <n v="277.11"/>
    <n v="1108.44"/>
    <n v="173.38"/>
    <n v="693.52"/>
    <n v="414.92"/>
    <n v="0.37432788423369778"/>
    <n v="165000"/>
  </r>
  <r>
    <s v="ORD-0425"/>
    <x v="252"/>
    <x v="0"/>
    <s v="Dallas"/>
    <x v="0"/>
    <x v="2"/>
    <x v="2"/>
    <s v="Laptop"/>
    <n v="5"/>
    <n v="999.82"/>
    <n v="4999.1000000000004"/>
    <n v="694.58"/>
    <n v="3472.9"/>
    <n v="1526.2"/>
    <n v="0.30529495309155646"/>
    <n v="140000"/>
  </r>
  <r>
    <s v="ORD-0426"/>
    <x v="89"/>
    <x v="1"/>
    <s v="Minneapolis"/>
    <x v="2"/>
    <x v="1"/>
    <x v="2"/>
    <s v="Wireless Mouse"/>
    <n v="1"/>
    <n v="31.6"/>
    <n v="31.6"/>
    <n v="17.73"/>
    <n v="17.73"/>
    <n v="13.87"/>
    <n v="0.43892405063291134"/>
    <n v="135000"/>
  </r>
  <r>
    <s v="ORD-0427"/>
    <x v="253"/>
    <x v="1"/>
    <s v="Denver"/>
    <x v="2"/>
    <x v="2"/>
    <x v="2"/>
    <s v="Wireless Mouse"/>
    <n v="4"/>
    <n v="37.479999999999997"/>
    <n v="149.91999999999999"/>
    <n v="19.02"/>
    <n v="76.08"/>
    <n v="73.84"/>
    <n v="0.49252934898612599"/>
    <n v="135000"/>
  </r>
  <r>
    <s v="ORD-0428"/>
    <x v="13"/>
    <x v="1"/>
    <s v="Denver"/>
    <x v="2"/>
    <x v="0"/>
    <x v="0"/>
    <s v="Desk Organizer"/>
    <n v="2"/>
    <n v="27.52"/>
    <n v="55.04"/>
    <n v="15.04"/>
    <n v="30.08"/>
    <n v="24.96"/>
    <n v="0.45348837209302328"/>
    <n v="135000"/>
  </r>
  <r>
    <s v="ORD-0429"/>
    <x v="182"/>
    <x v="3"/>
    <s v="Boston"/>
    <x v="1"/>
    <x v="1"/>
    <x v="0"/>
    <s v="Printer Paper"/>
    <n v="6"/>
    <n v="12.03"/>
    <n v="72.180000000000007"/>
    <n v="6.32"/>
    <n v="37.92"/>
    <n v="34.26"/>
    <n v="0.47464671654197832"/>
    <n v="165000"/>
  </r>
  <r>
    <s v="ORD-0430"/>
    <x v="245"/>
    <x v="2"/>
    <s v="Seattle"/>
    <x v="0"/>
    <x v="2"/>
    <x v="2"/>
    <s v="Monitor"/>
    <n v="8"/>
    <n v="279.18"/>
    <n v="2233.44"/>
    <n v="182.7"/>
    <n v="1461.6"/>
    <n v="771.84"/>
    <n v="0.34558349451966475"/>
    <n v="155000"/>
  </r>
  <r>
    <s v="ORD-0431"/>
    <x v="47"/>
    <x v="3"/>
    <s v="Boston"/>
    <x v="2"/>
    <x v="2"/>
    <x v="1"/>
    <s v="Bookshelf"/>
    <n v="3"/>
    <n v="178.47"/>
    <n v="535.41"/>
    <n v="116.58"/>
    <n v="349.74"/>
    <n v="185.67"/>
    <n v="0.34678097159186416"/>
    <n v="165000"/>
  </r>
  <r>
    <s v="ORD-0432"/>
    <x v="106"/>
    <x v="3"/>
    <s v="Boston"/>
    <x v="2"/>
    <x v="2"/>
    <x v="2"/>
    <s v="Wireless Mouse"/>
    <n v="6"/>
    <n v="33.76"/>
    <n v="202.56"/>
    <n v="18.989999999999998"/>
    <n v="113.94"/>
    <n v="88.62"/>
    <n v="0.4375"/>
    <n v="165000"/>
  </r>
  <r>
    <s v="ORD-0433"/>
    <x v="112"/>
    <x v="1"/>
    <s v="Chicago"/>
    <x v="1"/>
    <x v="0"/>
    <x v="2"/>
    <s v="Laptop"/>
    <n v="4"/>
    <n v="1055.4100000000001"/>
    <n v="4221.6400000000003"/>
    <n v="740.34"/>
    <n v="2961.36"/>
    <n v="1260.28"/>
    <n v="0.29852853393467937"/>
    <n v="135000"/>
  </r>
  <r>
    <s v="ORD-0434"/>
    <x v="232"/>
    <x v="1"/>
    <s v="Chicago"/>
    <x v="1"/>
    <x v="2"/>
    <x v="2"/>
    <s v="Monitor"/>
    <n v="1"/>
    <n v="286.13"/>
    <n v="286.13"/>
    <n v="187.6"/>
    <n v="187.6"/>
    <n v="98.53"/>
    <n v="0.34435396498095272"/>
    <n v="135000"/>
  </r>
  <r>
    <s v="ORD-0435"/>
    <x v="130"/>
    <x v="1"/>
    <s v="Minneapolis"/>
    <x v="1"/>
    <x v="1"/>
    <x v="2"/>
    <s v="Laptop"/>
    <n v="6"/>
    <n v="962.4"/>
    <n v="5774.4"/>
    <n v="759.47"/>
    <n v="4556.82"/>
    <n v="1217.58"/>
    <n v="0.21085827098919369"/>
    <n v="135000"/>
  </r>
  <r>
    <s v="ORD-0436"/>
    <x v="24"/>
    <x v="0"/>
    <s v="Houston"/>
    <x v="1"/>
    <x v="2"/>
    <x v="2"/>
    <s v="Laptop"/>
    <n v="7"/>
    <n v="1029.6500000000001"/>
    <n v="7207.55"/>
    <n v="706"/>
    <n v="4942"/>
    <n v="2265.5500000000002"/>
    <n v="0.31433011217403972"/>
    <n v="140000"/>
  </r>
  <r>
    <s v="ORD-0437"/>
    <x v="2"/>
    <x v="1"/>
    <s v="Chicago"/>
    <x v="0"/>
    <x v="0"/>
    <x v="1"/>
    <s v="Standing Desk"/>
    <n v="6"/>
    <n v="563.16999999999996"/>
    <n v="3379.02"/>
    <n v="415.95"/>
    <n v="2495.6999999999998"/>
    <n v="883.32"/>
    <n v="0.26141307242928424"/>
    <n v="135000"/>
  </r>
  <r>
    <s v="ORD-0438"/>
    <x v="249"/>
    <x v="3"/>
    <s v="New York"/>
    <x v="0"/>
    <x v="0"/>
    <x v="2"/>
    <s v="Monitor"/>
    <n v="7"/>
    <n v="256.2"/>
    <n v="1793.4"/>
    <n v="184.14"/>
    <n v="1288.98"/>
    <n v="504.42"/>
    <n v="0.28126463700234189"/>
    <n v="165000"/>
  </r>
  <r>
    <s v="ORD-0439"/>
    <x v="254"/>
    <x v="3"/>
    <s v="New York"/>
    <x v="1"/>
    <x v="0"/>
    <x v="0"/>
    <s v="Printer Paper"/>
    <n v="2"/>
    <n v="12.8"/>
    <n v="25.6"/>
    <n v="6.11"/>
    <n v="12.22"/>
    <n v="13.38"/>
    <n v="0.52265625000000004"/>
    <n v="165000"/>
  </r>
  <r>
    <s v="ORD-0440"/>
    <x v="201"/>
    <x v="0"/>
    <s v="Austin"/>
    <x v="2"/>
    <x v="0"/>
    <x v="2"/>
    <s v="Monitor"/>
    <n v="2"/>
    <n v="250.1"/>
    <n v="500.2"/>
    <n v="189.48"/>
    <n v="378.96"/>
    <n v="121.24"/>
    <n v="0.24238304678128747"/>
    <n v="140000"/>
  </r>
  <r>
    <s v="ORD-0441"/>
    <x v="89"/>
    <x v="1"/>
    <s v="Chicago"/>
    <x v="0"/>
    <x v="2"/>
    <x v="0"/>
    <s v="Desk Organizer"/>
    <n v="7"/>
    <n v="30.11"/>
    <n v="210.77"/>
    <n v="15.67"/>
    <n v="109.69"/>
    <n v="101.08"/>
    <n v="0.4795748920624377"/>
    <n v="135000"/>
  </r>
  <r>
    <s v="ORD-0442"/>
    <x v="67"/>
    <x v="2"/>
    <s v="Seattle"/>
    <x v="0"/>
    <x v="1"/>
    <x v="2"/>
    <s v="Wireless Mouse"/>
    <n v="1"/>
    <n v="35.76"/>
    <n v="35.76"/>
    <n v="18.28"/>
    <n v="18.28"/>
    <n v="17.48"/>
    <n v="0.48881431767337813"/>
    <n v="155000"/>
  </r>
  <r>
    <s v="ORD-0443"/>
    <x v="128"/>
    <x v="0"/>
    <s v="Houston"/>
    <x v="0"/>
    <x v="0"/>
    <x v="1"/>
    <s v="Bookshelf"/>
    <n v="2"/>
    <n v="174.07"/>
    <n v="348.14"/>
    <n v="119.01"/>
    <n v="238.02"/>
    <n v="110.12"/>
    <n v="0.31630953064858969"/>
    <n v="140000"/>
  </r>
  <r>
    <s v="ORD-0444"/>
    <x v="255"/>
    <x v="2"/>
    <s v="Phoenix"/>
    <x v="2"/>
    <x v="1"/>
    <x v="0"/>
    <s v="Desk Organizer"/>
    <n v="3"/>
    <n v="26.33"/>
    <n v="78.989999999999995"/>
    <n v="15.33"/>
    <n v="45.99"/>
    <n v="33"/>
    <n v="0.41777440182301562"/>
    <n v="155000"/>
  </r>
  <r>
    <s v="ORD-0445"/>
    <x v="244"/>
    <x v="2"/>
    <s v="Los Angeles"/>
    <x v="1"/>
    <x v="2"/>
    <x v="0"/>
    <s v="Printer Paper"/>
    <n v="8"/>
    <n v="12.5"/>
    <n v="100"/>
    <n v="5.8"/>
    <n v="46.4"/>
    <n v="53.6"/>
    <n v="0.53600000000000003"/>
    <n v="155000"/>
  </r>
  <r>
    <s v="ORD-0446"/>
    <x v="77"/>
    <x v="0"/>
    <s v="Austin"/>
    <x v="1"/>
    <x v="2"/>
    <x v="1"/>
    <s v="Standing Desk"/>
    <n v="6"/>
    <n v="606.71"/>
    <n v="3640.26"/>
    <n v="441.67"/>
    <n v="2650.02"/>
    <n v="990.24"/>
    <n v="0.27202452572069025"/>
    <n v="140000"/>
  </r>
  <r>
    <s v="ORD-0447"/>
    <x v="248"/>
    <x v="0"/>
    <s v="Austin"/>
    <x v="0"/>
    <x v="1"/>
    <x v="2"/>
    <s v="Wireless Mouse"/>
    <n v="8"/>
    <n v="34.97"/>
    <n v="279.76"/>
    <n v="18.39"/>
    <n v="147.12"/>
    <n v="132.63999999999999"/>
    <n v="0.47412067486416926"/>
    <n v="140000"/>
  </r>
  <r>
    <s v="ORD-0448"/>
    <x v="256"/>
    <x v="2"/>
    <s v="Seattle"/>
    <x v="2"/>
    <x v="1"/>
    <x v="0"/>
    <s v="Desk Organizer"/>
    <n v="1"/>
    <n v="27.13"/>
    <n v="27.13"/>
    <n v="15.58"/>
    <n v="15.58"/>
    <n v="11.55"/>
    <n v="0.42572797640987842"/>
    <n v="155000"/>
  </r>
  <r>
    <s v="ORD-0449"/>
    <x v="257"/>
    <x v="1"/>
    <s v="Kansas City"/>
    <x v="2"/>
    <x v="0"/>
    <x v="2"/>
    <s v="Wireless Mouse"/>
    <n v="8"/>
    <n v="35.06"/>
    <n v="280.48"/>
    <n v="17.93"/>
    <n v="143.44"/>
    <n v="137.04"/>
    <n v="0.48859098687963487"/>
    <n v="135000"/>
  </r>
  <r>
    <s v="ORD-0450"/>
    <x v="256"/>
    <x v="1"/>
    <s v="Chicago"/>
    <x v="1"/>
    <x v="2"/>
    <x v="2"/>
    <s v="Monitor"/>
    <n v="3"/>
    <n v="284.98"/>
    <n v="854.94"/>
    <n v="176.34"/>
    <n v="529.02"/>
    <n v="325.92"/>
    <n v="0.38121973471822584"/>
    <n v="135000"/>
  </r>
  <r>
    <s v="ORD-0451"/>
    <x v="14"/>
    <x v="0"/>
    <s v="Houston"/>
    <x v="2"/>
    <x v="1"/>
    <x v="0"/>
    <s v="Printer Paper"/>
    <n v="7"/>
    <n v="12.83"/>
    <n v="89.81"/>
    <n v="5.89"/>
    <n v="41.23"/>
    <n v="48.58"/>
    <n v="0.54091971940763828"/>
    <n v="140000"/>
  </r>
  <r>
    <s v="ORD-0452"/>
    <x v="258"/>
    <x v="3"/>
    <s v="Miami"/>
    <x v="0"/>
    <x v="0"/>
    <x v="1"/>
    <s v="Office Chair"/>
    <n v="4"/>
    <n v="350.76"/>
    <n v="1403.04"/>
    <n v="213.98"/>
    <n v="855.92"/>
    <n v="547.12"/>
    <n v="0.38995324438362416"/>
    <n v="165000"/>
  </r>
  <r>
    <s v="ORD-0453"/>
    <x v="155"/>
    <x v="2"/>
    <s v="Phoenix"/>
    <x v="0"/>
    <x v="0"/>
    <x v="2"/>
    <s v="Wireless Mouse"/>
    <n v="1"/>
    <n v="36.6"/>
    <n v="36.6"/>
    <n v="18.809999999999999"/>
    <n v="18.809999999999999"/>
    <n v="17.79"/>
    <n v="0.48606557377049175"/>
    <n v="155000"/>
  </r>
  <r>
    <s v="ORD-0454"/>
    <x v="103"/>
    <x v="2"/>
    <s v="San Diego"/>
    <x v="1"/>
    <x v="0"/>
    <x v="0"/>
    <s v="Desk Organizer"/>
    <n v="8"/>
    <n v="30.99"/>
    <n v="247.92"/>
    <n v="14.46"/>
    <n v="115.68"/>
    <n v="132.24"/>
    <n v="0.53339787028073582"/>
    <n v="155000"/>
  </r>
  <r>
    <s v="ORD-0455"/>
    <x v="87"/>
    <x v="2"/>
    <s v="Los Angeles"/>
    <x v="1"/>
    <x v="0"/>
    <x v="2"/>
    <s v="Laptop"/>
    <n v="6"/>
    <n v="936.11"/>
    <n v="5616.66"/>
    <n v="757.29"/>
    <n v="4543.74"/>
    <n v="1072.92"/>
    <n v="0.19102455907959537"/>
    <n v="155000"/>
  </r>
  <r>
    <s v="ORD-0456"/>
    <x v="209"/>
    <x v="0"/>
    <s v="Austin"/>
    <x v="1"/>
    <x v="1"/>
    <x v="2"/>
    <s v="Monitor"/>
    <n v="5"/>
    <n v="267.10000000000002"/>
    <n v="1335.5"/>
    <n v="183.06"/>
    <n v="915.3"/>
    <n v="420.2"/>
    <n v="0.3146387120928491"/>
    <n v="140000"/>
  </r>
  <r>
    <s v="ORD-0457"/>
    <x v="58"/>
    <x v="1"/>
    <s v="Kansas City"/>
    <x v="0"/>
    <x v="1"/>
    <x v="0"/>
    <s v="Ink Cartridge"/>
    <n v="5"/>
    <n v="41.28"/>
    <n v="206.4"/>
    <n v="25.22"/>
    <n v="126.1"/>
    <n v="80.3"/>
    <n v="0.38905038759689919"/>
    <n v="135000"/>
  </r>
  <r>
    <s v="ORD-0458"/>
    <x v="259"/>
    <x v="1"/>
    <s v="Kansas City"/>
    <x v="2"/>
    <x v="0"/>
    <x v="1"/>
    <s v="Standing Desk"/>
    <n v="1"/>
    <n v="626.45000000000005"/>
    <n v="626.45000000000005"/>
    <n v="418.78"/>
    <n v="418.78"/>
    <n v="207.67"/>
    <n v="0.33150291324128017"/>
    <n v="135000"/>
  </r>
  <r>
    <s v="ORD-0459"/>
    <x v="73"/>
    <x v="2"/>
    <s v="Los Angeles"/>
    <x v="0"/>
    <x v="0"/>
    <x v="0"/>
    <s v="Desk Organizer"/>
    <n v="3"/>
    <n v="26.17"/>
    <n v="78.510000000000005"/>
    <n v="15.3"/>
    <n v="45.9"/>
    <n v="32.61"/>
    <n v="0.41536110049675196"/>
    <n v="155000"/>
  </r>
  <r>
    <s v="ORD-0460"/>
    <x v="139"/>
    <x v="2"/>
    <s v="Phoenix"/>
    <x v="2"/>
    <x v="2"/>
    <x v="1"/>
    <s v="Standing Desk"/>
    <n v="8"/>
    <n v="623.34"/>
    <n v="4986.72"/>
    <n v="438.2"/>
    <n v="3505.6"/>
    <n v="1481.12"/>
    <n v="0.29701286617255429"/>
    <n v="155000"/>
  </r>
  <r>
    <s v="ORD-0461"/>
    <x v="160"/>
    <x v="1"/>
    <s v="Chicago"/>
    <x v="1"/>
    <x v="0"/>
    <x v="0"/>
    <s v="Desk Organizer"/>
    <n v="3"/>
    <n v="29.08"/>
    <n v="87.24"/>
    <n v="14.46"/>
    <n v="43.38"/>
    <n v="43.86"/>
    <n v="0.50275103163686385"/>
    <n v="135000"/>
  </r>
  <r>
    <s v="ORD-0462"/>
    <x v="260"/>
    <x v="2"/>
    <s v="Los Angeles"/>
    <x v="1"/>
    <x v="1"/>
    <x v="1"/>
    <s v="Bookshelf"/>
    <n v="7"/>
    <n v="185.73"/>
    <n v="1300.1099999999999"/>
    <n v="116.88"/>
    <n v="818.16"/>
    <n v="481.95"/>
    <n v="0.37069940235826199"/>
    <n v="155000"/>
  </r>
  <r>
    <s v="ORD-0463"/>
    <x v="56"/>
    <x v="3"/>
    <s v="New York"/>
    <x v="1"/>
    <x v="2"/>
    <x v="1"/>
    <s v="Standing Desk"/>
    <n v="8"/>
    <n v="581.27"/>
    <n v="4650.16"/>
    <n v="448.51"/>
    <n v="3588.08"/>
    <n v="1062.08"/>
    <n v="0.22839644227295405"/>
    <n v="165000"/>
  </r>
  <r>
    <s v="ORD-0464"/>
    <x v="236"/>
    <x v="2"/>
    <s v="San Diego"/>
    <x v="0"/>
    <x v="2"/>
    <x v="0"/>
    <s v="Desk Organizer"/>
    <n v="6"/>
    <n v="30.88"/>
    <n v="185.28"/>
    <n v="15.29"/>
    <n v="91.74"/>
    <n v="93.54"/>
    <n v="0.50485751295336789"/>
    <n v="155000"/>
  </r>
  <r>
    <s v="ORD-0465"/>
    <x v="261"/>
    <x v="2"/>
    <s v="Phoenix"/>
    <x v="1"/>
    <x v="0"/>
    <x v="2"/>
    <s v="Laptop"/>
    <n v="7"/>
    <n v="1027.74"/>
    <n v="7194.18"/>
    <n v="734.8"/>
    <n v="5143.6000000000004"/>
    <n v="2050.58"/>
    <n v="0.28503317959795277"/>
    <n v="155000"/>
  </r>
  <r>
    <s v="ORD-0466"/>
    <x v="118"/>
    <x v="1"/>
    <s v="Chicago"/>
    <x v="2"/>
    <x v="2"/>
    <x v="0"/>
    <s v="Ink Cartridge"/>
    <n v="2"/>
    <n v="42.26"/>
    <n v="84.52"/>
    <n v="23.35"/>
    <n v="46.7"/>
    <n v="37.82"/>
    <n v="0.44746805489824898"/>
    <n v="135000"/>
  </r>
  <r>
    <s v="ORD-0467"/>
    <x v="54"/>
    <x v="0"/>
    <s v="San Antonio"/>
    <x v="0"/>
    <x v="0"/>
    <x v="0"/>
    <s v="Printer Paper"/>
    <n v="7"/>
    <n v="11.41"/>
    <n v="79.87"/>
    <n v="6.24"/>
    <n v="43.68"/>
    <n v="36.19"/>
    <n v="0.45311130587204201"/>
    <n v="140000"/>
  </r>
  <r>
    <s v="ORD-0468"/>
    <x v="89"/>
    <x v="3"/>
    <s v="New York"/>
    <x v="1"/>
    <x v="0"/>
    <x v="2"/>
    <s v="Laptop"/>
    <n v="2"/>
    <n v="914.2"/>
    <n v="1828.4"/>
    <n v="754.33"/>
    <n v="1508.66"/>
    <n v="319.74"/>
    <n v="0.1748742069569022"/>
    <n v="165000"/>
  </r>
  <r>
    <s v="ORD-0469"/>
    <x v="72"/>
    <x v="3"/>
    <s v="Boston"/>
    <x v="1"/>
    <x v="2"/>
    <x v="0"/>
    <s v="Printer Paper"/>
    <n v="2"/>
    <n v="12.17"/>
    <n v="24.34"/>
    <n v="5.99"/>
    <n v="11.98"/>
    <n v="12.36"/>
    <n v="0.50780608052588327"/>
    <n v="165000"/>
  </r>
  <r>
    <s v="ORD-0470"/>
    <x v="262"/>
    <x v="3"/>
    <s v="Miami"/>
    <x v="1"/>
    <x v="0"/>
    <x v="2"/>
    <s v="Monitor"/>
    <n v="5"/>
    <n v="282.89999999999998"/>
    <n v="1414.5"/>
    <n v="180.42"/>
    <n v="902.1"/>
    <n v="512.4"/>
    <n v="0.36224814422057261"/>
    <n v="165000"/>
  </r>
  <r>
    <s v="ORD-0471"/>
    <x v="95"/>
    <x v="3"/>
    <s v="Miami"/>
    <x v="2"/>
    <x v="0"/>
    <x v="1"/>
    <s v="Bookshelf"/>
    <n v="8"/>
    <n v="169.08"/>
    <n v="1352.64"/>
    <n v="116.83"/>
    <n v="934.64"/>
    <n v="418"/>
    <n v="0.30902531346108347"/>
    <n v="165000"/>
  </r>
  <r>
    <s v="ORD-0472"/>
    <x v="83"/>
    <x v="3"/>
    <s v="Philadelphia"/>
    <x v="0"/>
    <x v="2"/>
    <x v="1"/>
    <s v="Office Chair"/>
    <n v="3"/>
    <n v="348.19"/>
    <n v="1044.57"/>
    <n v="215.44"/>
    <n v="646.32000000000005"/>
    <n v="398.25"/>
    <n v="0.38125735948763606"/>
    <n v="165000"/>
  </r>
  <r>
    <s v="ORD-0473"/>
    <x v="92"/>
    <x v="1"/>
    <s v="Denver"/>
    <x v="1"/>
    <x v="2"/>
    <x v="2"/>
    <s v="Wireless Mouse"/>
    <n v="1"/>
    <n v="32.74"/>
    <n v="32.74"/>
    <n v="19.02"/>
    <n v="19.02"/>
    <n v="13.72"/>
    <n v="0.41905925473427003"/>
    <n v="135000"/>
  </r>
  <r>
    <s v="ORD-0474"/>
    <x v="181"/>
    <x v="0"/>
    <s v="Dallas"/>
    <x v="0"/>
    <x v="2"/>
    <x v="0"/>
    <s v="Ink Cartridge"/>
    <n v="2"/>
    <n v="40.229999999999997"/>
    <n v="80.459999999999994"/>
    <n v="23.93"/>
    <n v="47.86"/>
    <n v="32.6"/>
    <n v="0.40517027094208308"/>
    <n v="140000"/>
  </r>
  <r>
    <s v="ORD-0475"/>
    <x v="203"/>
    <x v="0"/>
    <s v="San Antonio"/>
    <x v="2"/>
    <x v="0"/>
    <x v="1"/>
    <s v="Bookshelf"/>
    <n v="5"/>
    <n v="190.18"/>
    <n v="950.9"/>
    <n v="117.27"/>
    <n v="586.35"/>
    <n v="364.55"/>
    <n v="0.38337364601956042"/>
    <n v="140000"/>
  </r>
  <r>
    <s v="ORD-0476"/>
    <x v="222"/>
    <x v="1"/>
    <s v="Minneapolis"/>
    <x v="1"/>
    <x v="1"/>
    <x v="1"/>
    <s v="Bookshelf"/>
    <n v="5"/>
    <n v="169.71"/>
    <n v="848.55"/>
    <n v="119.42"/>
    <n v="597.1"/>
    <n v="251.45"/>
    <n v="0.29632903187790938"/>
    <n v="135000"/>
  </r>
  <r>
    <s v="ORD-0477"/>
    <x v="45"/>
    <x v="2"/>
    <s v="San Diego"/>
    <x v="0"/>
    <x v="0"/>
    <x v="0"/>
    <s v="Printer Paper"/>
    <n v="3"/>
    <n v="11.03"/>
    <n v="33.090000000000003"/>
    <n v="5.93"/>
    <n v="17.79"/>
    <n v="15.3"/>
    <n v="0.46237533998186758"/>
    <n v="155000"/>
  </r>
  <r>
    <s v="ORD-0478"/>
    <x v="263"/>
    <x v="3"/>
    <s v="Miami"/>
    <x v="1"/>
    <x v="0"/>
    <x v="0"/>
    <s v="Printer Paper"/>
    <n v="2"/>
    <n v="13.23"/>
    <n v="26.46"/>
    <n v="6.09"/>
    <n v="12.18"/>
    <n v="14.28"/>
    <n v="0.53968253968253965"/>
    <n v="165000"/>
  </r>
  <r>
    <s v="ORD-0479"/>
    <x v="264"/>
    <x v="3"/>
    <s v="Philadelphia"/>
    <x v="2"/>
    <x v="0"/>
    <x v="2"/>
    <s v="Laptop"/>
    <n v="8"/>
    <n v="1049.31"/>
    <n v="8394.48"/>
    <n v="732.59"/>
    <n v="5860.72"/>
    <n v="2533.7600000000002"/>
    <n v="0.30183644490188793"/>
    <n v="165000"/>
  </r>
  <r>
    <s v="ORD-0480"/>
    <x v="162"/>
    <x v="2"/>
    <s v="Phoenix"/>
    <x v="0"/>
    <x v="2"/>
    <x v="1"/>
    <s v="Bookshelf"/>
    <n v="5"/>
    <n v="175.46"/>
    <n v="877.3"/>
    <n v="111.75"/>
    <n v="558.75"/>
    <n v="318.55"/>
    <n v="0.36310270147042062"/>
    <n v="155000"/>
  </r>
  <r>
    <s v="ORD-0481"/>
    <x v="113"/>
    <x v="3"/>
    <s v="Philadelphia"/>
    <x v="0"/>
    <x v="1"/>
    <x v="1"/>
    <s v="Standing Desk"/>
    <n v="4"/>
    <n v="661.32"/>
    <n v="2645.28"/>
    <n v="454.13"/>
    <n v="1816.52"/>
    <n v="828.76"/>
    <n v="0.31329764712998243"/>
    <n v="165000"/>
  </r>
  <r>
    <s v="ORD-0482"/>
    <x v="135"/>
    <x v="1"/>
    <s v="Chicago"/>
    <x v="0"/>
    <x v="0"/>
    <x v="1"/>
    <s v="Office Chair"/>
    <n v="4"/>
    <n v="335.65"/>
    <n v="1342.6"/>
    <n v="206.43"/>
    <n v="825.72"/>
    <n v="516.88"/>
    <n v="0.38498435870698644"/>
    <n v="135000"/>
  </r>
  <r>
    <s v="ORD-0483"/>
    <x v="9"/>
    <x v="1"/>
    <s v="Kansas City"/>
    <x v="0"/>
    <x v="0"/>
    <x v="2"/>
    <s v="Monitor"/>
    <n v="4"/>
    <n v="250.43"/>
    <n v="1001.72"/>
    <n v="179.98"/>
    <n v="719.92"/>
    <n v="281.8"/>
    <n v="0.28131613624565749"/>
    <n v="135000"/>
  </r>
  <r>
    <s v="ORD-0484"/>
    <x v="33"/>
    <x v="0"/>
    <s v="Dallas"/>
    <x v="0"/>
    <x v="0"/>
    <x v="2"/>
    <s v="Monitor"/>
    <n v="3"/>
    <n v="288.18"/>
    <n v="864.54"/>
    <n v="185.1"/>
    <n v="555.29999999999995"/>
    <n v="309.24"/>
    <n v="0.35769310847387054"/>
    <n v="140000"/>
  </r>
  <r>
    <s v="ORD-0485"/>
    <x v="63"/>
    <x v="1"/>
    <s v="Denver"/>
    <x v="1"/>
    <x v="0"/>
    <x v="2"/>
    <s v="Monitor"/>
    <n v="4"/>
    <n v="247.11"/>
    <n v="988.44"/>
    <n v="187.83"/>
    <n v="751.32"/>
    <n v="237.12"/>
    <n v="0.23989316498725263"/>
    <n v="135000"/>
  </r>
  <r>
    <s v="ORD-0486"/>
    <x v="112"/>
    <x v="3"/>
    <s v="Boston"/>
    <x v="2"/>
    <x v="0"/>
    <x v="0"/>
    <s v="Ink Cartridge"/>
    <n v="8"/>
    <n v="43.47"/>
    <n v="347.76"/>
    <n v="24.87"/>
    <n v="198.96"/>
    <n v="148.80000000000001"/>
    <n v="0.42788129744651487"/>
    <n v="165000"/>
  </r>
  <r>
    <s v="ORD-0487"/>
    <x v="52"/>
    <x v="0"/>
    <s v="San Antonio"/>
    <x v="1"/>
    <x v="0"/>
    <x v="2"/>
    <s v="Monitor"/>
    <n v="8"/>
    <n v="244.46"/>
    <n v="1955.68"/>
    <n v="186.56"/>
    <n v="1492.48"/>
    <n v="463.2"/>
    <n v="0.23684856418227929"/>
    <n v="140000"/>
  </r>
  <r>
    <s v="ORD-0488"/>
    <x v="45"/>
    <x v="3"/>
    <s v="Miami"/>
    <x v="1"/>
    <x v="2"/>
    <x v="0"/>
    <s v="Printer Paper"/>
    <n v="7"/>
    <n v="12.06"/>
    <n v="84.42"/>
    <n v="6.08"/>
    <n v="42.56"/>
    <n v="41.86"/>
    <n v="0.49585406301824209"/>
    <n v="165000"/>
  </r>
  <r>
    <s v="ORD-0489"/>
    <x v="265"/>
    <x v="3"/>
    <s v="Miami"/>
    <x v="2"/>
    <x v="2"/>
    <x v="1"/>
    <s v="Standing Desk"/>
    <n v="2"/>
    <n v="653.24"/>
    <n v="1306.48"/>
    <n v="432.58"/>
    <n v="865.16"/>
    <n v="441.32"/>
    <n v="0.33779315412405853"/>
    <n v="165000"/>
  </r>
  <r>
    <s v="ORD-0490"/>
    <x v="48"/>
    <x v="0"/>
    <s v="Houston"/>
    <x v="0"/>
    <x v="0"/>
    <x v="0"/>
    <s v="Ink Cartridge"/>
    <n v="6"/>
    <n v="41.14"/>
    <n v="246.84"/>
    <n v="25.11"/>
    <n v="150.66"/>
    <n v="96.18"/>
    <n v="0.38964511424404474"/>
    <n v="140000"/>
  </r>
  <r>
    <s v="ORD-0491"/>
    <x v="27"/>
    <x v="3"/>
    <s v="Boston"/>
    <x v="1"/>
    <x v="1"/>
    <x v="2"/>
    <s v="Wireless Mouse"/>
    <n v="6"/>
    <n v="32.92"/>
    <n v="197.52"/>
    <n v="18.04"/>
    <n v="108.24"/>
    <n v="89.28"/>
    <n v="0.45200486026731468"/>
    <n v="165000"/>
  </r>
  <r>
    <s v="ORD-0492"/>
    <x v="111"/>
    <x v="3"/>
    <s v="Philadelphia"/>
    <x v="2"/>
    <x v="0"/>
    <x v="0"/>
    <s v="Desk Organizer"/>
    <n v="3"/>
    <n v="31.23"/>
    <n v="93.69"/>
    <n v="15.43"/>
    <n v="46.29"/>
    <n v="47.4"/>
    <n v="0.50592379122638487"/>
    <n v="165000"/>
  </r>
  <r>
    <s v="ORD-0493"/>
    <x v="30"/>
    <x v="3"/>
    <s v="Boston"/>
    <x v="0"/>
    <x v="1"/>
    <x v="2"/>
    <s v="Laptop"/>
    <n v="3"/>
    <n v="1022.21"/>
    <n v="3066.63"/>
    <n v="744.38"/>
    <n v="2233.14"/>
    <n v="833.49"/>
    <n v="0.27179346709580221"/>
    <n v="165000"/>
  </r>
  <r>
    <s v="ORD-0494"/>
    <x v="266"/>
    <x v="0"/>
    <s v="Dallas"/>
    <x v="1"/>
    <x v="0"/>
    <x v="1"/>
    <s v="Bookshelf"/>
    <n v="6"/>
    <n v="193.1"/>
    <n v="1158.5999999999999"/>
    <n v="113.85"/>
    <n v="683.1"/>
    <n v="475.5"/>
    <n v="0.41040911444847233"/>
    <n v="140000"/>
  </r>
  <r>
    <s v="ORD-0495"/>
    <x v="10"/>
    <x v="0"/>
    <s v="San Antonio"/>
    <x v="1"/>
    <x v="0"/>
    <x v="2"/>
    <s v="Laptop"/>
    <n v="5"/>
    <n v="954.6"/>
    <n v="4773"/>
    <n v="736.55"/>
    <n v="3682.75"/>
    <n v="1090.25"/>
    <n v="0.22842028074586215"/>
    <n v="140000"/>
  </r>
  <r>
    <s v="ORD-0496"/>
    <x v="267"/>
    <x v="3"/>
    <s v="Philadelphia"/>
    <x v="1"/>
    <x v="2"/>
    <x v="2"/>
    <s v="Monitor"/>
    <n v="6"/>
    <n v="235.13"/>
    <n v="1410.78"/>
    <n v="174.98"/>
    <n v="1049.8800000000001"/>
    <n v="360.9"/>
    <n v="0.25581593161229954"/>
    <n v="165000"/>
  </r>
  <r>
    <s v="ORD-0497"/>
    <x v="190"/>
    <x v="2"/>
    <s v="San Diego"/>
    <x v="2"/>
    <x v="0"/>
    <x v="2"/>
    <s v="Wireless Mouse"/>
    <n v="8"/>
    <n v="37.47"/>
    <n v="299.76"/>
    <n v="18.079999999999998"/>
    <n v="144.63999999999999"/>
    <n v="155.12"/>
    <n v="0.51748065118761677"/>
    <n v="155000"/>
  </r>
  <r>
    <s v="ORD-0498"/>
    <x v="268"/>
    <x v="1"/>
    <s v="Kansas City"/>
    <x v="0"/>
    <x v="1"/>
    <x v="0"/>
    <s v="Desk Organizer"/>
    <n v="6"/>
    <n v="27.8"/>
    <n v="166.8"/>
    <n v="15.32"/>
    <n v="91.92"/>
    <n v="74.88"/>
    <n v="0.44892086330935244"/>
    <n v="135000"/>
  </r>
  <r>
    <s v="ORD-0499"/>
    <x v="55"/>
    <x v="0"/>
    <s v="Houston"/>
    <x v="1"/>
    <x v="0"/>
    <x v="2"/>
    <s v="Wireless Mouse"/>
    <n v="5"/>
    <n v="36.97"/>
    <n v="184.85"/>
    <n v="18.37"/>
    <n v="91.85"/>
    <n v="93"/>
    <n v="0.50311063024073577"/>
    <n v="140000"/>
  </r>
  <r>
    <s v="ORD-0500"/>
    <x v="218"/>
    <x v="3"/>
    <s v="Miami"/>
    <x v="2"/>
    <x v="1"/>
    <x v="1"/>
    <s v="Bookshelf"/>
    <n v="8"/>
    <n v="178.39"/>
    <n v="1427.12"/>
    <n v="112.51"/>
    <n v="900.08"/>
    <n v="527.04"/>
    <n v="0.36930321206345645"/>
    <n v="165000"/>
  </r>
  <r>
    <s v="ORD-0501"/>
    <x v="269"/>
    <x v="2"/>
    <s v="San Diego"/>
    <x v="0"/>
    <x v="1"/>
    <x v="0"/>
    <s v="Ink Cartridge"/>
    <n v="4"/>
    <n v="39.340000000000003"/>
    <n v="157.36000000000001"/>
    <n v="23.29"/>
    <n v="93.16"/>
    <n v="64.2"/>
    <n v="0.40798169801728518"/>
    <n v="155000"/>
  </r>
  <r>
    <s v="ORD-0502"/>
    <x v="97"/>
    <x v="1"/>
    <s v="Chicago"/>
    <x v="1"/>
    <x v="0"/>
    <x v="0"/>
    <s v="Ink Cartridge"/>
    <n v="2"/>
    <n v="40.229999999999997"/>
    <n v="80.459999999999994"/>
    <n v="23.41"/>
    <n v="46.82"/>
    <n v="33.64"/>
    <n v="0.41809594829729063"/>
    <n v="135000"/>
  </r>
  <r>
    <s v="ORD-0503"/>
    <x v="104"/>
    <x v="1"/>
    <s v="Kansas City"/>
    <x v="1"/>
    <x v="2"/>
    <x v="1"/>
    <s v="Standing Desk"/>
    <n v="3"/>
    <n v="575.91"/>
    <n v="1727.73"/>
    <n v="448.86"/>
    <n v="1346.58"/>
    <n v="381.15"/>
    <n v="0.22060738657081835"/>
    <n v="135000"/>
  </r>
  <r>
    <s v="ORD-0504"/>
    <x v="270"/>
    <x v="0"/>
    <s v="Austin"/>
    <x v="2"/>
    <x v="0"/>
    <x v="1"/>
    <s v="Standing Desk"/>
    <n v="8"/>
    <n v="690.99"/>
    <n v="5527.92"/>
    <n v="436.05"/>
    <n v="3488.4"/>
    <n v="2039.52"/>
    <n v="0.3689488994052012"/>
    <n v="140000"/>
  </r>
  <r>
    <s v="ORD-0505"/>
    <x v="271"/>
    <x v="1"/>
    <s v="Denver"/>
    <x v="2"/>
    <x v="2"/>
    <x v="0"/>
    <s v="Desk Organizer"/>
    <n v="8"/>
    <n v="29.09"/>
    <n v="232.72"/>
    <n v="15.35"/>
    <n v="122.8"/>
    <n v="109.92"/>
    <n v="0.4723272602268821"/>
    <n v="135000"/>
  </r>
  <r>
    <s v="ORD-0506"/>
    <x v="272"/>
    <x v="1"/>
    <s v="Kansas City"/>
    <x v="2"/>
    <x v="2"/>
    <x v="2"/>
    <s v="Laptop"/>
    <n v="2"/>
    <n v="947.35"/>
    <n v="1894.7"/>
    <n v="717.54"/>
    <n v="1435.08"/>
    <n v="459.62"/>
    <n v="0.24258193909326015"/>
    <n v="135000"/>
  </r>
  <r>
    <s v="ORD-0507"/>
    <x v="162"/>
    <x v="2"/>
    <s v="Seattle"/>
    <x v="1"/>
    <x v="2"/>
    <x v="0"/>
    <s v="Desk Organizer"/>
    <n v="6"/>
    <n v="26.97"/>
    <n v="161.82"/>
    <n v="15.2"/>
    <n v="91.2"/>
    <n v="70.62"/>
    <n v="0.43641082684464222"/>
    <n v="155000"/>
  </r>
  <r>
    <s v="ORD-0508"/>
    <x v="48"/>
    <x v="1"/>
    <s v="Minneapolis"/>
    <x v="1"/>
    <x v="2"/>
    <x v="2"/>
    <s v="Monitor"/>
    <n v="4"/>
    <n v="279.58"/>
    <n v="1118.32"/>
    <n v="182.67"/>
    <n v="730.68"/>
    <n v="387.64"/>
    <n v="0.34662708348236643"/>
    <n v="135000"/>
  </r>
  <r>
    <s v="ORD-0509"/>
    <x v="242"/>
    <x v="1"/>
    <s v="Minneapolis"/>
    <x v="1"/>
    <x v="0"/>
    <x v="1"/>
    <s v="Office Chair"/>
    <n v="7"/>
    <n v="303.52999999999997"/>
    <n v="2124.71"/>
    <n v="203.26"/>
    <n v="1422.82"/>
    <n v="701.89"/>
    <n v="0.33034625901887787"/>
    <n v="135000"/>
  </r>
  <r>
    <s v="ORD-0510"/>
    <x v="14"/>
    <x v="2"/>
    <s v="Seattle"/>
    <x v="1"/>
    <x v="2"/>
    <x v="2"/>
    <s v="Monitor"/>
    <n v="7"/>
    <n v="244.75"/>
    <n v="1713.25"/>
    <n v="174.03"/>
    <n v="1218.21"/>
    <n v="495.04"/>
    <n v="0.28894790602655773"/>
    <n v="155000"/>
  </r>
  <r>
    <s v="ORD-0511"/>
    <x v="273"/>
    <x v="3"/>
    <s v="New York"/>
    <x v="0"/>
    <x v="2"/>
    <x v="2"/>
    <s v="Monitor"/>
    <n v="8"/>
    <n v="244.74"/>
    <n v="1957.92"/>
    <n v="173.15"/>
    <n v="1385.2"/>
    <n v="572.72"/>
    <n v="0.29251450518918037"/>
    <n v="165000"/>
  </r>
  <r>
    <s v="ORD-0512"/>
    <x v="274"/>
    <x v="0"/>
    <s v="Dallas"/>
    <x v="2"/>
    <x v="0"/>
    <x v="0"/>
    <s v="Desk Organizer"/>
    <n v="8"/>
    <n v="29.68"/>
    <n v="237.44"/>
    <n v="14.75"/>
    <n v="118"/>
    <n v="119.44"/>
    <n v="0.50303234501347704"/>
    <n v="140000"/>
  </r>
  <r>
    <s v="ORD-0513"/>
    <x v="119"/>
    <x v="0"/>
    <s v="San Antonio"/>
    <x v="1"/>
    <x v="0"/>
    <x v="1"/>
    <s v="Standing Desk"/>
    <n v="6"/>
    <n v="621.25"/>
    <n v="3727.5"/>
    <n v="446.83"/>
    <n v="2680.98"/>
    <n v="1046.52"/>
    <n v="0.28075653923541249"/>
    <n v="140000"/>
  </r>
  <r>
    <s v="ORD-0514"/>
    <x v="172"/>
    <x v="0"/>
    <s v="Dallas"/>
    <x v="1"/>
    <x v="2"/>
    <x v="0"/>
    <s v="Ink Cartridge"/>
    <n v="8"/>
    <n v="39.479999999999997"/>
    <n v="315.83999999999997"/>
    <n v="25.19"/>
    <n v="201.52"/>
    <n v="114.32"/>
    <n v="0.36195542046605877"/>
    <n v="140000"/>
  </r>
  <r>
    <s v="ORD-0515"/>
    <x v="275"/>
    <x v="1"/>
    <s v="Chicago"/>
    <x v="1"/>
    <x v="2"/>
    <x v="2"/>
    <s v="Laptop"/>
    <n v="7"/>
    <n v="1016.19"/>
    <n v="7113.33"/>
    <n v="723.09"/>
    <n v="5061.63"/>
    <n v="2051.6999999999998"/>
    <n v="0.28843031322882529"/>
    <n v="135000"/>
  </r>
  <r>
    <s v="ORD-0516"/>
    <x v="276"/>
    <x v="2"/>
    <s v="Phoenix"/>
    <x v="0"/>
    <x v="0"/>
    <x v="2"/>
    <s v="Laptop"/>
    <n v="8"/>
    <n v="936.33"/>
    <n v="7490.64"/>
    <n v="760.41"/>
    <n v="6083.28"/>
    <n v="1407.36"/>
    <n v="0.18788247733170996"/>
    <n v="155000"/>
  </r>
  <r>
    <s v="ORD-0517"/>
    <x v="277"/>
    <x v="2"/>
    <s v="Los Angeles"/>
    <x v="0"/>
    <x v="2"/>
    <x v="0"/>
    <s v="Ink Cartridge"/>
    <n v="5"/>
    <n v="42.25"/>
    <n v="211.25"/>
    <n v="23.76"/>
    <n v="118.8"/>
    <n v="92.45"/>
    <n v="0.43763313609467458"/>
    <n v="155000"/>
  </r>
  <r>
    <s v="ORD-0518"/>
    <x v="132"/>
    <x v="0"/>
    <s v="Dallas"/>
    <x v="2"/>
    <x v="0"/>
    <x v="1"/>
    <s v="Office Chair"/>
    <n v="6"/>
    <n v="289.06"/>
    <n v="1734.36"/>
    <n v="218.28"/>
    <n v="1309.68"/>
    <n v="424.68"/>
    <n v="0.24486265827163911"/>
    <n v="140000"/>
  </r>
  <r>
    <s v="ORD-0519"/>
    <x v="96"/>
    <x v="0"/>
    <s v="San Antonio"/>
    <x v="2"/>
    <x v="0"/>
    <x v="0"/>
    <s v="Printer Paper"/>
    <n v="8"/>
    <n v="12.62"/>
    <n v="100.96"/>
    <n v="5.85"/>
    <n v="46.8"/>
    <n v="54.16"/>
    <n v="0.53645007923930266"/>
    <n v="140000"/>
  </r>
  <r>
    <s v="ORD-0520"/>
    <x v="117"/>
    <x v="2"/>
    <s v="San Diego"/>
    <x v="0"/>
    <x v="2"/>
    <x v="2"/>
    <s v="Wireless Mouse"/>
    <n v="1"/>
    <n v="31.96"/>
    <n v="31.96"/>
    <n v="18.440000000000001"/>
    <n v="18.440000000000001"/>
    <n v="13.52"/>
    <n v="0.42302878598247806"/>
    <n v="155000"/>
  </r>
  <r>
    <s v="ORD-0521"/>
    <x v="2"/>
    <x v="0"/>
    <s v="Dallas"/>
    <x v="0"/>
    <x v="0"/>
    <x v="1"/>
    <s v="Bookshelf"/>
    <n v="6"/>
    <n v="193.9"/>
    <n v="1163.4000000000001"/>
    <n v="115.45"/>
    <n v="692.7"/>
    <n v="470.7"/>
    <n v="0.40458999484270236"/>
    <n v="140000"/>
  </r>
  <r>
    <s v="ORD-0522"/>
    <x v="278"/>
    <x v="0"/>
    <s v="San Antonio"/>
    <x v="1"/>
    <x v="0"/>
    <x v="0"/>
    <s v="Printer Paper"/>
    <n v="8"/>
    <n v="12.67"/>
    <n v="101.36"/>
    <n v="6.1"/>
    <n v="48.8"/>
    <n v="52.56"/>
    <n v="0.51854775059194946"/>
    <n v="140000"/>
  </r>
  <r>
    <s v="ORD-0523"/>
    <x v="52"/>
    <x v="1"/>
    <s v="Denver"/>
    <x v="0"/>
    <x v="2"/>
    <x v="2"/>
    <s v="Wireless Mouse"/>
    <n v="8"/>
    <n v="33.619999999999997"/>
    <n v="268.95999999999998"/>
    <n v="18.78"/>
    <n v="150.24"/>
    <n v="118.72"/>
    <n v="0.44140392623438435"/>
    <n v="135000"/>
  </r>
  <r>
    <s v="ORD-0524"/>
    <x v="68"/>
    <x v="2"/>
    <s v="Los Angeles"/>
    <x v="0"/>
    <x v="0"/>
    <x v="2"/>
    <s v="Monitor"/>
    <n v="6"/>
    <n v="259.97000000000003"/>
    <n v="1559.82"/>
    <n v="186.77"/>
    <n v="1120.6199999999999"/>
    <n v="439.2"/>
    <n v="0.28157095049428782"/>
    <n v="155000"/>
  </r>
  <r>
    <s v="ORD-0525"/>
    <x v="240"/>
    <x v="1"/>
    <s v="Denver"/>
    <x v="2"/>
    <x v="2"/>
    <x v="2"/>
    <s v="Wireless Mouse"/>
    <n v="4"/>
    <n v="33.97"/>
    <n v="135.88"/>
    <n v="17.39"/>
    <n v="69.56"/>
    <n v="66.319999999999993"/>
    <n v="0.48807771563143948"/>
    <n v="135000"/>
  </r>
  <r>
    <s v="ORD-0526"/>
    <x v="156"/>
    <x v="1"/>
    <s v="Denver"/>
    <x v="0"/>
    <x v="2"/>
    <x v="1"/>
    <s v="Bookshelf"/>
    <n v="3"/>
    <n v="186.28"/>
    <n v="558.84"/>
    <n v="114.11"/>
    <n v="342.33"/>
    <n v="216.51"/>
    <n v="0.38742752845179296"/>
    <n v="135000"/>
  </r>
  <r>
    <s v="ORD-0527"/>
    <x v="39"/>
    <x v="3"/>
    <s v="New York"/>
    <x v="1"/>
    <x v="2"/>
    <x v="0"/>
    <s v="Printer Paper"/>
    <n v="3"/>
    <n v="11.27"/>
    <n v="33.81"/>
    <n v="5.78"/>
    <n v="17.34"/>
    <n v="16.47"/>
    <n v="0.48713398402839392"/>
    <n v="165000"/>
  </r>
  <r>
    <s v="ORD-0528"/>
    <x v="279"/>
    <x v="1"/>
    <s v="Denver"/>
    <x v="1"/>
    <x v="2"/>
    <x v="1"/>
    <s v="Office Chair"/>
    <n v="8"/>
    <n v="325.02"/>
    <n v="2600.16"/>
    <n v="216.33"/>
    <n v="1730.64"/>
    <n v="869.52"/>
    <n v="0.33441019014214513"/>
    <n v="135000"/>
  </r>
  <r>
    <s v="ORD-0529"/>
    <x v="280"/>
    <x v="0"/>
    <s v="Austin"/>
    <x v="1"/>
    <x v="2"/>
    <x v="0"/>
    <s v="Printer Paper"/>
    <n v="4"/>
    <n v="12.53"/>
    <n v="50.12"/>
    <n v="6.32"/>
    <n v="25.28"/>
    <n v="24.84"/>
    <n v="0.49561053471667998"/>
    <n v="140000"/>
  </r>
  <r>
    <s v="ORD-0530"/>
    <x v="268"/>
    <x v="1"/>
    <s v="Chicago"/>
    <x v="1"/>
    <x v="2"/>
    <x v="1"/>
    <s v="Office Chair"/>
    <n v="6"/>
    <n v="343.92"/>
    <n v="2063.52"/>
    <n v="202.82"/>
    <n v="1216.92"/>
    <n v="846.6"/>
    <n v="0.41026983019306817"/>
    <n v="135000"/>
  </r>
  <r>
    <s v="ORD-0531"/>
    <x v="281"/>
    <x v="3"/>
    <s v="New York"/>
    <x v="0"/>
    <x v="1"/>
    <x v="0"/>
    <s v="Ink Cartridge"/>
    <n v="4"/>
    <n v="46.68"/>
    <n v="186.72"/>
    <n v="23.27"/>
    <n v="93.08"/>
    <n v="93.64"/>
    <n v="0.50149957155098546"/>
    <n v="165000"/>
  </r>
  <r>
    <s v="ORD-0532"/>
    <x v="282"/>
    <x v="1"/>
    <s v="Denver"/>
    <x v="1"/>
    <x v="2"/>
    <x v="0"/>
    <s v="Desk Organizer"/>
    <n v="7"/>
    <n v="29.8"/>
    <n v="208.6"/>
    <n v="15.55"/>
    <n v="108.85"/>
    <n v="99.75"/>
    <n v="0.47818791946308725"/>
    <n v="135000"/>
  </r>
  <r>
    <s v="ORD-0533"/>
    <x v="224"/>
    <x v="3"/>
    <s v="Miami"/>
    <x v="0"/>
    <x v="0"/>
    <x v="0"/>
    <s v="Ink Cartridge"/>
    <n v="3"/>
    <n v="45.12"/>
    <n v="135.36000000000001"/>
    <n v="24.36"/>
    <n v="73.08"/>
    <n v="62.28"/>
    <n v="0.46010638297872336"/>
    <n v="165000"/>
  </r>
  <r>
    <s v="ORD-0534"/>
    <x v="177"/>
    <x v="3"/>
    <s v="Boston"/>
    <x v="0"/>
    <x v="2"/>
    <x v="2"/>
    <s v="Wireless Mouse"/>
    <n v="6"/>
    <n v="35.74"/>
    <n v="214.44"/>
    <n v="19.07"/>
    <n v="114.42"/>
    <n v="100.02"/>
    <n v="0.46642417459429208"/>
    <n v="165000"/>
  </r>
  <r>
    <s v="ORD-0535"/>
    <x v="241"/>
    <x v="1"/>
    <s v="Minneapolis"/>
    <x v="2"/>
    <x v="0"/>
    <x v="2"/>
    <s v="Laptop"/>
    <n v="4"/>
    <n v="933.39"/>
    <n v="3733.56"/>
    <n v="730.82"/>
    <n v="2923.28"/>
    <n v="810.28"/>
    <n v="0.2170261091290886"/>
    <n v="135000"/>
  </r>
  <r>
    <s v="ORD-0536"/>
    <x v="41"/>
    <x v="3"/>
    <s v="Miami"/>
    <x v="1"/>
    <x v="0"/>
    <x v="0"/>
    <s v="Printer Paper"/>
    <n v="5"/>
    <n v="12.37"/>
    <n v="61.85"/>
    <n v="6.07"/>
    <n v="30.35"/>
    <n v="31.5"/>
    <n v="0.50929668552950691"/>
    <n v="165000"/>
  </r>
  <r>
    <s v="ORD-0537"/>
    <x v="91"/>
    <x v="0"/>
    <s v="Austin"/>
    <x v="2"/>
    <x v="0"/>
    <x v="2"/>
    <s v="Wireless Mouse"/>
    <n v="1"/>
    <n v="37.44"/>
    <n v="37.44"/>
    <n v="18.98"/>
    <n v="18.98"/>
    <n v="18.46"/>
    <n v="0.49305555555555564"/>
    <n v="140000"/>
  </r>
  <r>
    <s v="ORD-0538"/>
    <x v="238"/>
    <x v="2"/>
    <s v="Los Angeles"/>
    <x v="1"/>
    <x v="0"/>
    <x v="0"/>
    <s v="Desk Organizer"/>
    <n v="5"/>
    <n v="27.46"/>
    <n v="137.30000000000001"/>
    <n v="15.27"/>
    <n v="76.349999999999994"/>
    <n v="60.95"/>
    <n v="0.443918426802622"/>
    <n v="155000"/>
  </r>
  <r>
    <s v="ORD-0539"/>
    <x v="220"/>
    <x v="3"/>
    <s v="Philadelphia"/>
    <x v="1"/>
    <x v="0"/>
    <x v="2"/>
    <s v="Laptop"/>
    <n v="2"/>
    <n v="1006.23"/>
    <n v="2012.46"/>
    <n v="748.29"/>
    <n v="1496.58"/>
    <n v="515.88"/>
    <n v="0.25634298321457322"/>
    <n v="165000"/>
  </r>
  <r>
    <s v="ORD-0540"/>
    <x v="229"/>
    <x v="1"/>
    <s v="Chicago"/>
    <x v="0"/>
    <x v="0"/>
    <x v="1"/>
    <s v="Office Chair"/>
    <n v="2"/>
    <n v="342.92"/>
    <n v="685.84"/>
    <n v="220.96"/>
    <n v="441.92"/>
    <n v="243.92"/>
    <n v="0.35565146389828528"/>
    <n v="135000"/>
  </r>
  <r>
    <s v="ORD-0541"/>
    <x v="283"/>
    <x v="3"/>
    <s v="Miami"/>
    <x v="1"/>
    <x v="1"/>
    <x v="2"/>
    <s v="Laptop"/>
    <n v="1"/>
    <n v="987.48"/>
    <n v="987.48"/>
    <n v="736.72"/>
    <n v="736.72"/>
    <n v="250.76"/>
    <n v="0.25393932029003119"/>
    <n v="165000"/>
  </r>
  <r>
    <s v="ORD-0542"/>
    <x v="284"/>
    <x v="3"/>
    <s v="New York"/>
    <x v="1"/>
    <x v="2"/>
    <x v="2"/>
    <s v="Wireless Mouse"/>
    <n v="4"/>
    <n v="32.68"/>
    <n v="130.72"/>
    <n v="18.489999999999998"/>
    <n v="73.959999999999994"/>
    <n v="56.76"/>
    <n v="0.43421052631578944"/>
    <n v="165000"/>
  </r>
  <r>
    <s v="ORD-0543"/>
    <x v="215"/>
    <x v="1"/>
    <s v="Chicago"/>
    <x v="1"/>
    <x v="0"/>
    <x v="1"/>
    <s v="Office Chair"/>
    <n v="3"/>
    <n v="297.31"/>
    <n v="891.93"/>
    <n v="203.33"/>
    <n v="609.99"/>
    <n v="281.94"/>
    <n v="0.31610103931922912"/>
    <n v="135000"/>
  </r>
  <r>
    <s v="ORD-0544"/>
    <x v="285"/>
    <x v="0"/>
    <s v="San Antonio"/>
    <x v="1"/>
    <x v="0"/>
    <x v="1"/>
    <s v="Office Chair"/>
    <n v="3"/>
    <n v="341.65"/>
    <n v="1024.95"/>
    <n v="211.7"/>
    <n v="635.1"/>
    <n v="389.85"/>
    <n v="0.3803600175618323"/>
    <n v="140000"/>
  </r>
  <r>
    <s v="ORD-0545"/>
    <x v="286"/>
    <x v="1"/>
    <s v="Minneapolis"/>
    <x v="0"/>
    <x v="0"/>
    <x v="1"/>
    <s v="Bookshelf"/>
    <n v="4"/>
    <n v="171.6"/>
    <n v="686.4"/>
    <n v="113.46"/>
    <n v="453.84"/>
    <n v="232.56"/>
    <n v="0.33881118881118882"/>
    <n v="135000"/>
  </r>
  <r>
    <s v="ORD-0546"/>
    <x v="148"/>
    <x v="3"/>
    <s v="New York"/>
    <x v="1"/>
    <x v="0"/>
    <x v="2"/>
    <s v="Wireless Mouse"/>
    <n v="6"/>
    <n v="32.97"/>
    <n v="197.82"/>
    <n v="17.899999999999999"/>
    <n v="107.4"/>
    <n v="90.42"/>
    <n v="0.45708219593569915"/>
    <n v="165000"/>
  </r>
  <r>
    <s v="ORD-0547"/>
    <x v="104"/>
    <x v="0"/>
    <s v="Austin"/>
    <x v="1"/>
    <x v="0"/>
    <x v="1"/>
    <s v="Standing Desk"/>
    <n v="3"/>
    <n v="618.08000000000004"/>
    <n v="1854.24"/>
    <n v="452.54"/>
    <n v="1357.62"/>
    <n v="496.62"/>
    <n v="0.26782940719647941"/>
    <n v="140000"/>
  </r>
  <r>
    <s v="ORD-0548"/>
    <x v="220"/>
    <x v="2"/>
    <s v="Seattle"/>
    <x v="1"/>
    <x v="2"/>
    <x v="0"/>
    <s v="Ink Cartridge"/>
    <n v="2"/>
    <n v="44.63"/>
    <n v="89.26"/>
    <n v="23.62"/>
    <n v="47.24"/>
    <n v="42.02"/>
    <n v="0.47075957875868252"/>
    <n v="155000"/>
  </r>
  <r>
    <s v="ORD-0549"/>
    <x v="253"/>
    <x v="2"/>
    <s v="Seattle"/>
    <x v="1"/>
    <x v="2"/>
    <x v="0"/>
    <s v="Ink Cartridge"/>
    <n v="5"/>
    <n v="41.96"/>
    <n v="209.8"/>
    <n v="23.09"/>
    <n v="115.45"/>
    <n v="94.35"/>
    <n v="0.44971401334604377"/>
    <n v="155000"/>
  </r>
  <r>
    <s v="ORD-0550"/>
    <x v="287"/>
    <x v="2"/>
    <s v="San Diego"/>
    <x v="0"/>
    <x v="2"/>
    <x v="1"/>
    <s v="Bookshelf"/>
    <n v="8"/>
    <n v="186.67"/>
    <n v="1493.36"/>
    <n v="121.81"/>
    <n v="974.48"/>
    <n v="518.88"/>
    <n v="0.34745808110569454"/>
    <n v="155000"/>
  </r>
  <r>
    <s v="ORD-0551"/>
    <x v="109"/>
    <x v="0"/>
    <s v="San Antonio"/>
    <x v="0"/>
    <x v="2"/>
    <x v="0"/>
    <s v="Printer Paper"/>
    <n v="5"/>
    <n v="11.25"/>
    <n v="56.25"/>
    <n v="5.93"/>
    <n v="29.65"/>
    <n v="26.6"/>
    <n v="0.47288888888888891"/>
    <n v="140000"/>
  </r>
  <r>
    <s v="ORD-0552"/>
    <x v="43"/>
    <x v="3"/>
    <s v="New York"/>
    <x v="0"/>
    <x v="1"/>
    <x v="0"/>
    <s v="Ink Cartridge"/>
    <n v="7"/>
    <n v="43.9"/>
    <n v="307.3"/>
    <n v="24.63"/>
    <n v="172.41"/>
    <n v="134.88999999999999"/>
    <n v="0.43895216400911158"/>
    <n v="165000"/>
  </r>
  <r>
    <s v="ORD-0553"/>
    <x v="288"/>
    <x v="3"/>
    <s v="New York"/>
    <x v="1"/>
    <x v="1"/>
    <x v="1"/>
    <s v="Office Chair"/>
    <n v="4"/>
    <n v="356.98"/>
    <n v="1427.92"/>
    <n v="212.28"/>
    <n v="849.12"/>
    <n v="578.79999999999995"/>
    <n v="0.40534483724578402"/>
    <n v="165000"/>
  </r>
  <r>
    <s v="ORD-0554"/>
    <x v="289"/>
    <x v="0"/>
    <s v="Austin"/>
    <x v="0"/>
    <x v="2"/>
    <x v="0"/>
    <s v="Ink Cartridge"/>
    <n v="3"/>
    <n v="39.64"/>
    <n v="118.92"/>
    <n v="25.36"/>
    <n v="76.08"/>
    <n v="42.84"/>
    <n v="0.36024217961654897"/>
    <n v="140000"/>
  </r>
  <r>
    <s v="ORD-0555"/>
    <x v="10"/>
    <x v="0"/>
    <s v="Houston"/>
    <x v="1"/>
    <x v="2"/>
    <x v="2"/>
    <s v="Wireless Mouse"/>
    <n v="8"/>
    <n v="34.53"/>
    <n v="276.24"/>
    <n v="17.559999999999999"/>
    <n v="140.47999999999999"/>
    <n v="135.76"/>
    <n v="0.49145670431508826"/>
    <n v="140000"/>
  </r>
  <r>
    <s v="ORD-0556"/>
    <x v="168"/>
    <x v="3"/>
    <s v="Philadelphia"/>
    <x v="0"/>
    <x v="0"/>
    <x v="1"/>
    <s v="Bookshelf"/>
    <n v="5"/>
    <n v="194.15"/>
    <n v="970.75"/>
    <n v="117.6"/>
    <n v="588"/>
    <n v="382.75"/>
    <n v="0.39428277105330928"/>
    <n v="165000"/>
  </r>
  <r>
    <s v="ORD-0557"/>
    <x v="239"/>
    <x v="0"/>
    <s v="Austin"/>
    <x v="1"/>
    <x v="0"/>
    <x v="1"/>
    <s v="Office Chair"/>
    <n v="3"/>
    <n v="294.18"/>
    <n v="882.54"/>
    <n v="209.63"/>
    <n v="628.89"/>
    <n v="253.65"/>
    <n v="0.28740906927731324"/>
    <n v="140000"/>
  </r>
  <r>
    <s v="ORD-0558"/>
    <x v="190"/>
    <x v="2"/>
    <s v="Phoenix"/>
    <x v="1"/>
    <x v="0"/>
    <x v="2"/>
    <s v="Monitor"/>
    <n v="6"/>
    <n v="259.69"/>
    <n v="1558.14"/>
    <n v="175.17"/>
    <n v="1051.02"/>
    <n v="507.12"/>
    <n v="0.32546497747314102"/>
    <n v="155000"/>
  </r>
  <r>
    <s v="ORD-0559"/>
    <x v="290"/>
    <x v="2"/>
    <s v="San Diego"/>
    <x v="2"/>
    <x v="0"/>
    <x v="1"/>
    <s v="Bookshelf"/>
    <n v="3"/>
    <n v="179.03"/>
    <n v="537.09"/>
    <n v="120.85"/>
    <n v="362.55"/>
    <n v="174.54"/>
    <n v="0.32497346813383227"/>
    <n v="155000"/>
  </r>
  <r>
    <s v="ORD-0560"/>
    <x v="291"/>
    <x v="2"/>
    <s v="Seattle"/>
    <x v="1"/>
    <x v="2"/>
    <x v="0"/>
    <s v="Ink Cartridge"/>
    <n v="3"/>
    <n v="40.729999999999997"/>
    <n v="122.19"/>
    <n v="25.15"/>
    <n v="75.45"/>
    <n v="46.74"/>
    <n v="0.38251902774367791"/>
    <n v="155000"/>
  </r>
  <r>
    <s v="ORD-0561"/>
    <x v="216"/>
    <x v="3"/>
    <s v="Miami"/>
    <x v="2"/>
    <x v="0"/>
    <x v="2"/>
    <s v="Monitor"/>
    <n v="3"/>
    <n v="278.56"/>
    <n v="835.68"/>
    <n v="174.72"/>
    <n v="524.16"/>
    <n v="311.52"/>
    <n v="0.37277426766226307"/>
    <n v="165000"/>
  </r>
  <r>
    <s v="ORD-0562"/>
    <x v="292"/>
    <x v="0"/>
    <s v="Austin"/>
    <x v="0"/>
    <x v="2"/>
    <x v="2"/>
    <s v="Laptop"/>
    <n v="4"/>
    <n v="998.66"/>
    <n v="3994.64"/>
    <n v="717.07"/>
    <n v="2868.28"/>
    <n v="1126.3599999999999"/>
    <n v="0.28196783690144794"/>
    <n v="140000"/>
  </r>
  <r>
    <s v="ORD-0563"/>
    <x v="48"/>
    <x v="1"/>
    <s v="Denver"/>
    <x v="0"/>
    <x v="2"/>
    <x v="2"/>
    <s v="Wireless Mouse"/>
    <n v="3"/>
    <n v="38.06"/>
    <n v="114.18"/>
    <n v="18.16"/>
    <n v="54.48"/>
    <n v="59.7"/>
    <n v="0.52285864424592743"/>
    <n v="135000"/>
  </r>
  <r>
    <s v="ORD-0564"/>
    <x v="127"/>
    <x v="2"/>
    <s v="San Diego"/>
    <x v="1"/>
    <x v="0"/>
    <x v="0"/>
    <s v="Printer Paper"/>
    <n v="5"/>
    <n v="13.31"/>
    <n v="66.55"/>
    <n v="5.89"/>
    <n v="29.45"/>
    <n v="37.1"/>
    <n v="0.55747558226897076"/>
    <n v="155000"/>
  </r>
  <r>
    <s v="ORD-0565"/>
    <x v="77"/>
    <x v="2"/>
    <s v="San Diego"/>
    <x v="1"/>
    <x v="1"/>
    <x v="1"/>
    <s v="Standing Desk"/>
    <n v="8"/>
    <n v="651.82000000000005"/>
    <n v="5214.5600000000004"/>
    <n v="450.07"/>
    <n v="3600.56"/>
    <n v="1614"/>
    <n v="0.30951796508238466"/>
    <n v="155000"/>
  </r>
  <r>
    <s v="ORD-0566"/>
    <x v="18"/>
    <x v="1"/>
    <s v="Minneapolis"/>
    <x v="2"/>
    <x v="2"/>
    <x v="1"/>
    <s v="Office Chair"/>
    <n v="6"/>
    <n v="315.75"/>
    <n v="1894.5"/>
    <n v="221.32"/>
    <n v="1327.92"/>
    <n v="566.58000000000004"/>
    <n v="0.29906571654790182"/>
    <n v="135000"/>
  </r>
  <r>
    <s v="ORD-0567"/>
    <x v="285"/>
    <x v="0"/>
    <s v="Houston"/>
    <x v="0"/>
    <x v="1"/>
    <x v="0"/>
    <s v="Printer Paper"/>
    <n v="4"/>
    <n v="12.17"/>
    <n v="48.68"/>
    <n v="6"/>
    <n v="24"/>
    <n v="24.68"/>
    <n v="0.50698438783894828"/>
    <n v="140000"/>
  </r>
  <r>
    <s v="ORD-0568"/>
    <x v="245"/>
    <x v="1"/>
    <s v="Chicago"/>
    <x v="1"/>
    <x v="0"/>
    <x v="2"/>
    <s v="Monitor"/>
    <n v="5"/>
    <n v="260.39"/>
    <n v="1301.95"/>
    <n v="180.4"/>
    <n v="902"/>
    <n v="399.95"/>
    <n v="0.30719305656899265"/>
    <n v="135000"/>
  </r>
  <r>
    <s v="ORD-0569"/>
    <x v="50"/>
    <x v="0"/>
    <s v="Dallas"/>
    <x v="0"/>
    <x v="2"/>
    <x v="0"/>
    <s v="Ink Cartridge"/>
    <n v="2"/>
    <n v="39.46"/>
    <n v="78.92"/>
    <n v="24.45"/>
    <n v="48.9"/>
    <n v="30.02"/>
    <n v="0.38038520020273692"/>
    <n v="140000"/>
  </r>
  <r>
    <s v="ORD-0570"/>
    <x v="43"/>
    <x v="2"/>
    <s v="Phoenix"/>
    <x v="1"/>
    <x v="2"/>
    <x v="0"/>
    <s v="Desk Organizer"/>
    <n v="8"/>
    <n v="28.84"/>
    <n v="230.72"/>
    <n v="15.47"/>
    <n v="123.76"/>
    <n v="106.96"/>
    <n v="0.4635922330097087"/>
    <n v="155000"/>
  </r>
  <r>
    <s v="ORD-0571"/>
    <x v="165"/>
    <x v="1"/>
    <s v="Chicago"/>
    <x v="1"/>
    <x v="2"/>
    <x v="0"/>
    <s v="Desk Organizer"/>
    <n v="2"/>
    <n v="25.76"/>
    <n v="51.52"/>
    <n v="15.46"/>
    <n v="30.92"/>
    <n v="20.6"/>
    <n v="0.3998447204968944"/>
    <n v="135000"/>
  </r>
  <r>
    <s v="ORD-0572"/>
    <x v="205"/>
    <x v="3"/>
    <s v="New York"/>
    <x v="0"/>
    <x v="0"/>
    <x v="1"/>
    <s v="Bookshelf"/>
    <n v="3"/>
    <n v="177"/>
    <n v="531"/>
    <n v="114.78"/>
    <n v="344.34"/>
    <n v="186.66"/>
    <n v="0.35152542372881357"/>
    <n v="165000"/>
  </r>
  <r>
    <s v="ORD-0573"/>
    <x v="143"/>
    <x v="3"/>
    <s v="Boston"/>
    <x v="1"/>
    <x v="0"/>
    <x v="0"/>
    <s v="Printer Paper"/>
    <n v="7"/>
    <n v="11.61"/>
    <n v="81.27"/>
    <n v="6.2"/>
    <n v="43.4"/>
    <n v="37.869999999999997"/>
    <n v="0.46597760551248923"/>
    <n v="165000"/>
  </r>
  <r>
    <s v="ORD-0574"/>
    <x v="219"/>
    <x v="3"/>
    <s v="Boston"/>
    <x v="1"/>
    <x v="0"/>
    <x v="2"/>
    <s v="Laptop"/>
    <n v="1"/>
    <n v="985.12"/>
    <n v="985.12"/>
    <n v="709.42"/>
    <n v="709.42"/>
    <n v="275.7"/>
    <n v="0.27986438200422281"/>
    <n v="165000"/>
  </r>
  <r>
    <s v="ORD-0575"/>
    <x v="135"/>
    <x v="1"/>
    <s v="Minneapolis"/>
    <x v="0"/>
    <x v="0"/>
    <x v="1"/>
    <s v="Standing Desk"/>
    <n v="4"/>
    <n v="587.58000000000004"/>
    <n v="2350.3200000000002"/>
    <n v="441.16"/>
    <n v="1764.64"/>
    <n v="585.67999999999995"/>
    <n v="0.2491915994417781"/>
    <n v="135000"/>
  </r>
  <r>
    <s v="ORD-0576"/>
    <x v="78"/>
    <x v="1"/>
    <s v="Minneapolis"/>
    <x v="1"/>
    <x v="2"/>
    <x v="2"/>
    <s v="Laptop"/>
    <n v="5"/>
    <n v="984.53"/>
    <n v="4922.6499999999996"/>
    <n v="731.34"/>
    <n v="3656.7"/>
    <n v="1265.95"/>
    <n v="0.25716839507176015"/>
    <n v="135000"/>
  </r>
  <r>
    <s v="ORD-0577"/>
    <x v="293"/>
    <x v="0"/>
    <s v="Dallas"/>
    <x v="1"/>
    <x v="2"/>
    <x v="0"/>
    <s v="Printer Paper"/>
    <n v="3"/>
    <n v="13.05"/>
    <n v="39.15"/>
    <n v="6.16"/>
    <n v="18.48"/>
    <n v="20.67"/>
    <n v="0.52796934865900391"/>
    <n v="140000"/>
  </r>
  <r>
    <s v="ORD-0578"/>
    <x v="54"/>
    <x v="3"/>
    <s v="Philadelphia"/>
    <x v="2"/>
    <x v="0"/>
    <x v="1"/>
    <s v="Office Chair"/>
    <n v="3"/>
    <n v="299.36"/>
    <n v="898.08"/>
    <n v="207.57"/>
    <n v="622.71"/>
    <n v="275.37"/>
    <n v="0.30662079102084444"/>
    <n v="165000"/>
  </r>
  <r>
    <s v="ORD-0579"/>
    <x v="294"/>
    <x v="2"/>
    <s v="Phoenix"/>
    <x v="0"/>
    <x v="0"/>
    <x v="0"/>
    <s v="Printer Paper"/>
    <n v="2"/>
    <n v="12.83"/>
    <n v="25.66"/>
    <n v="5.95"/>
    <n v="11.9"/>
    <n v="13.76"/>
    <n v="0.53624318004676541"/>
    <n v="155000"/>
  </r>
  <r>
    <s v="ORD-0580"/>
    <x v="53"/>
    <x v="0"/>
    <s v="San Antonio"/>
    <x v="2"/>
    <x v="0"/>
    <x v="1"/>
    <s v="Standing Desk"/>
    <n v="3"/>
    <n v="574.64"/>
    <n v="1723.92"/>
    <n v="449.75"/>
    <n v="1349.25"/>
    <n v="374.67"/>
    <n v="0.21733607127940971"/>
    <n v="140000"/>
  </r>
  <r>
    <s v="ORD-0581"/>
    <x v="107"/>
    <x v="1"/>
    <s v="Denver"/>
    <x v="0"/>
    <x v="2"/>
    <x v="0"/>
    <s v="Ink Cartridge"/>
    <n v="2"/>
    <n v="42.27"/>
    <n v="84.54"/>
    <n v="24.69"/>
    <n v="49.38"/>
    <n v="35.159999999999997"/>
    <n v="0.41589779985805531"/>
    <n v="135000"/>
  </r>
  <r>
    <s v="ORD-0582"/>
    <x v="295"/>
    <x v="3"/>
    <s v="Miami"/>
    <x v="0"/>
    <x v="0"/>
    <x v="1"/>
    <s v="Bookshelf"/>
    <n v="6"/>
    <n v="198.71"/>
    <n v="1192.26"/>
    <n v="117.46"/>
    <n v="704.76"/>
    <n v="487.5"/>
    <n v="0.40888732323486487"/>
    <n v="165000"/>
  </r>
  <r>
    <s v="ORD-0583"/>
    <x v="115"/>
    <x v="1"/>
    <s v="Minneapolis"/>
    <x v="2"/>
    <x v="1"/>
    <x v="2"/>
    <s v="Laptop"/>
    <n v="5"/>
    <n v="1059.6600000000001"/>
    <n v="5298.3"/>
    <n v="691.31"/>
    <n v="3456.55"/>
    <n v="1841.75"/>
    <n v="0.34761149802766922"/>
    <n v="135000"/>
  </r>
  <r>
    <s v="ORD-0584"/>
    <x v="296"/>
    <x v="1"/>
    <s v="Chicago"/>
    <x v="0"/>
    <x v="0"/>
    <x v="1"/>
    <s v="Office Chair"/>
    <n v="7"/>
    <n v="291.2"/>
    <n v="2038.4"/>
    <n v="208.94"/>
    <n v="1462.58"/>
    <n v="575.82000000000005"/>
    <n v="0.28248626373626373"/>
    <n v="135000"/>
  </r>
  <r>
    <s v="ORD-0585"/>
    <x v="51"/>
    <x v="2"/>
    <s v="Los Angeles"/>
    <x v="0"/>
    <x v="2"/>
    <x v="2"/>
    <s v="Monitor"/>
    <n v="2"/>
    <n v="251.6"/>
    <n v="503.2"/>
    <n v="181.92"/>
    <n v="363.84"/>
    <n v="139.36000000000001"/>
    <n v="0.27694753577106523"/>
    <n v="155000"/>
  </r>
  <r>
    <s v="ORD-0586"/>
    <x v="277"/>
    <x v="0"/>
    <s v="Houston"/>
    <x v="0"/>
    <x v="0"/>
    <x v="0"/>
    <s v="Printer Paper"/>
    <n v="3"/>
    <n v="11.31"/>
    <n v="33.93"/>
    <n v="6.26"/>
    <n v="18.78"/>
    <n v="15.15"/>
    <n v="0.44650751547303275"/>
    <n v="140000"/>
  </r>
  <r>
    <s v="ORD-0587"/>
    <x v="46"/>
    <x v="1"/>
    <s v="Minneapolis"/>
    <x v="2"/>
    <x v="2"/>
    <x v="1"/>
    <s v="Standing Desk"/>
    <n v="3"/>
    <n v="643.54999999999995"/>
    <n v="1930.65"/>
    <n v="451.16"/>
    <n v="1353.48"/>
    <n v="577.16999999999996"/>
    <n v="0.29895113044829458"/>
    <n v="135000"/>
  </r>
  <r>
    <s v="ORD-0588"/>
    <x v="204"/>
    <x v="3"/>
    <s v="Miami"/>
    <x v="2"/>
    <x v="0"/>
    <x v="0"/>
    <s v="Printer Paper"/>
    <n v="5"/>
    <n v="12.29"/>
    <n v="61.45"/>
    <n v="6.17"/>
    <n v="30.85"/>
    <n v="30.6"/>
    <n v="0.4979658258746949"/>
    <n v="165000"/>
  </r>
  <r>
    <s v="ORD-0589"/>
    <x v="182"/>
    <x v="0"/>
    <s v="Dallas"/>
    <x v="0"/>
    <x v="0"/>
    <x v="2"/>
    <s v="Wireless Mouse"/>
    <n v="2"/>
    <n v="38.97"/>
    <n v="77.94"/>
    <n v="17.78"/>
    <n v="35.56"/>
    <n v="42.38"/>
    <n v="0.54375160379779319"/>
    <n v="140000"/>
  </r>
  <r>
    <s v="ORD-0590"/>
    <x v="216"/>
    <x v="3"/>
    <s v="Miami"/>
    <x v="0"/>
    <x v="1"/>
    <x v="1"/>
    <s v="Office Chair"/>
    <n v="3"/>
    <n v="329.9"/>
    <n v="989.7"/>
    <n v="219.76"/>
    <n v="659.28"/>
    <n v="330.42"/>
    <n v="0.33385874507426494"/>
    <n v="165000"/>
  </r>
  <r>
    <s v="ORD-0591"/>
    <x v="166"/>
    <x v="3"/>
    <s v="New York"/>
    <x v="1"/>
    <x v="0"/>
    <x v="2"/>
    <s v="Laptop"/>
    <n v="6"/>
    <n v="949.45"/>
    <n v="5696.7"/>
    <n v="759.65"/>
    <n v="4557.8999999999996"/>
    <n v="1138.8"/>
    <n v="0.19990520827847702"/>
    <n v="165000"/>
  </r>
  <r>
    <s v="ORD-0592"/>
    <x v="147"/>
    <x v="3"/>
    <s v="Boston"/>
    <x v="1"/>
    <x v="2"/>
    <x v="2"/>
    <s v="Laptop"/>
    <n v="2"/>
    <n v="947.75"/>
    <n v="1895.5"/>
    <n v="693"/>
    <n v="1386"/>
    <n v="509.5"/>
    <n v="0.2687945133210235"/>
    <n v="165000"/>
  </r>
  <r>
    <s v="ORD-0593"/>
    <x v="83"/>
    <x v="2"/>
    <s v="San Diego"/>
    <x v="1"/>
    <x v="2"/>
    <x v="1"/>
    <s v="Bookshelf"/>
    <n v="5"/>
    <n v="192.71"/>
    <n v="963.55"/>
    <n v="112.05"/>
    <n v="560.25"/>
    <n v="403.3"/>
    <n v="0.41855638005292928"/>
    <n v="155000"/>
  </r>
  <r>
    <s v="ORD-0594"/>
    <x v="71"/>
    <x v="2"/>
    <s v="San Diego"/>
    <x v="0"/>
    <x v="2"/>
    <x v="1"/>
    <s v="Bookshelf"/>
    <n v="2"/>
    <n v="162.16"/>
    <n v="324.32"/>
    <n v="121.12"/>
    <n v="242.24"/>
    <n v="82.08"/>
    <n v="0.25308337444499263"/>
    <n v="155000"/>
  </r>
  <r>
    <s v="ORD-0595"/>
    <x v="297"/>
    <x v="0"/>
    <s v="Austin"/>
    <x v="0"/>
    <x v="0"/>
    <x v="1"/>
    <s v="Bookshelf"/>
    <n v="5"/>
    <n v="162.88999999999999"/>
    <n v="814.45"/>
    <n v="119.12"/>
    <n v="595.6"/>
    <n v="218.85"/>
    <n v="0.26870894468659828"/>
    <n v="140000"/>
  </r>
  <r>
    <s v="ORD-0596"/>
    <x v="0"/>
    <x v="2"/>
    <s v="Seattle"/>
    <x v="1"/>
    <x v="0"/>
    <x v="1"/>
    <s v="Bookshelf"/>
    <n v="6"/>
    <n v="192.6"/>
    <n v="1155.5999999999999"/>
    <n v="118.12"/>
    <n v="708.72"/>
    <n v="446.88"/>
    <n v="0.38670820353063345"/>
    <n v="155000"/>
  </r>
  <r>
    <s v="ORD-0597"/>
    <x v="271"/>
    <x v="2"/>
    <s v="San Diego"/>
    <x v="1"/>
    <x v="0"/>
    <x v="1"/>
    <s v="Bookshelf"/>
    <n v="2"/>
    <n v="170.18"/>
    <n v="340.36"/>
    <n v="114.43"/>
    <n v="228.86"/>
    <n v="111.5"/>
    <n v="0.32759431190504174"/>
    <n v="155000"/>
  </r>
  <r>
    <s v="ORD-0598"/>
    <x v="185"/>
    <x v="3"/>
    <s v="Boston"/>
    <x v="2"/>
    <x v="1"/>
    <x v="2"/>
    <s v="Laptop"/>
    <n v="3"/>
    <n v="869.89"/>
    <n v="2609.67"/>
    <n v="735.35"/>
    <n v="2206.0500000000002"/>
    <n v="403.62"/>
    <n v="0.15466323328236903"/>
    <n v="165000"/>
  </r>
  <r>
    <s v="ORD-0599"/>
    <x v="86"/>
    <x v="1"/>
    <s v="Chicago"/>
    <x v="1"/>
    <x v="2"/>
    <x v="0"/>
    <s v="Printer Paper"/>
    <n v="2"/>
    <n v="11.81"/>
    <n v="23.62"/>
    <n v="5.81"/>
    <n v="11.62"/>
    <n v="12"/>
    <n v="0.5080440304826418"/>
    <n v="135000"/>
  </r>
  <r>
    <s v="ORD-0600"/>
    <x v="123"/>
    <x v="2"/>
    <s v="Phoenix"/>
    <x v="0"/>
    <x v="0"/>
    <x v="2"/>
    <s v="Laptop"/>
    <n v="2"/>
    <n v="1058.5"/>
    <n v="2117"/>
    <n v="745.61"/>
    <n v="1491.22"/>
    <n v="625.78"/>
    <n v="0.29559754369390645"/>
    <n v="15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00CF44-5B10-42D6-AA8B-FD632FBEC517}"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B5" firstHeaderRow="1" firstDataRow="1" firstDataCol="1"/>
  <pivotFields count="18">
    <pivotField compact="0" outline="0" showAll="0"/>
    <pivotField compact="0" numFmtId="164" outline="0" showAll="0">
      <items count="299">
        <item x="167"/>
        <item x="181"/>
        <item x="161"/>
        <item x="212"/>
        <item x="189"/>
        <item x="250"/>
        <item x="64"/>
        <item x="56"/>
        <item x="57"/>
        <item x="269"/>
        <item x="296"/>
        <item x="102"/>
        <item x="270"/>
        <item x="216"/>
        <item x="276"/>
        <item x="258"/>
        <item x="40"/>
        <item x="245"/>
        <item x="116"/>
        <item x="34"/>
        <item x="209"/>
        <item x="11"/>
        <item x="274"/>
        <item x="284"/>
        <item x="8"/>
        <item x="26"/>
        <item x="19"/>
        <item x="120"/>
        <item x="97"/>
        <item x="133"/>
        <item x="261"/>
        <item x="47"/>
        <item x="23"/>
        <item x="184"/>
        <item x="268"/>
        <item x="28"/>
        <item x="180"/>
        <item x="1"/>
        <item x="117"/>
        <item x="227"/>
        <item x="106"/>
        <item x="98"/>
        <item x="71"/>
        <item x="30"/>
        <item x="37"/>
        <item x="225"/>
        <item x="279"/>
        <item x="22"/>
        <item x="246"/>
        <item x="15"/>
        <item x="247"/>
        <item x="206"/>
        <item x="139"/>
        <item x="66"/>
        <item x="49"/>
        <item x="128"/>
        <item x="100"/>
        <item x="217"/>
        <item x="140"/>
        <item x="202"/>
        <item x="273"/>
        <item x="127"/>
        <item x="194"/>
        <item x="191"/>
        <item x="110"/>
        <item x="291"/>
        <item x="36"/>
        <item x="208"/>
        <item x="119"/>
        <item x="164"/>
        <item x="3"/>
        <item x="31"/>
        <item x="142"/>
        <item x="6"/>
        <item x="73"/>
        <item x="24"/>
        <item x="175"/>
        <item x="143"/>
        <item x="229"/>
        <item x="222"/>
        <item x="118"/>
        <item x="249"/>
        <item x="62"/>
        <item x="292"/>
        <item x="27"/>
        <item x="242"/>
        <item x="63"/>
        <item x="278"/>
        <item x="149"/>
        <item x="211"/>
        <item x="286"/>
        <item x="94"/>
        <item x="165"/>
        <item x="174"/>
        <item x="262"/>
        <item x="293"/>
        <item x="287"/>
        <item x="17"/>
        <item x="147"/>
        <item x="197"/>
        <item x="195"/>
        <item x="129"/>
        <item x="157"/>
        <item x="5"/>
        <item x="92"/>
        <item x="282"/>
        <item x="220"/>
        <item x="248"/>
        <item x="80"/>
        <item x="18"/>
        <item x="223"/>
        <item x="275"/>
        <item x="244"/>
        <item x="41"/>
        <item x="280"/>
        <item x="235"/>
        <item x="162"/>
        <item x="198"/>
        <item x="25"/>
        <item x="183"/>
        <item x="271"/>
        <item x="154"/>
        <item x="238"/>
        <item x="76"/>
        <item x="251"/>
        <item x="158"/>
        <item x="155"/>
        <item x="13"/>
        <item x="67"/>
        <item x="153"/>
        <item x="228"/>
        <item x="91"/>
        <item x="187"/>
        <item x="256"/>
        <item x="166"/>
        <item x="93"/>
        <item x="231"/>
        <item x="105"/>
        <item x="9"/>
        <item x="185"/>
        <item x="232"/>
        <item x="277"/>
        <item x="230"/>
        <item x="107"/>
        <item x="172"/>
        <item x="173"/>
        <item x="283"/>
        <item x="86"/>
        <item x="33"/>
        <item x="255"/>
        <item x="168"/>
        <item x="237"/>
        <item x="199"/>
        <item x="108"/>
        <item x="21"/>
        <item x="88"/>
        <item x="132"/>
        <item x="186"/>
        <item x="95"/>
        <item x="210"/>
        <item x="241"/>
        <item x="130"/>
        <item x="58"/>
        <item x="53"/>
        <item x="89"/>
        <item x="145"/>
        <item x="84"/>
        <item x="239"/>
        <item x="123"/>
        <item x="215"/>
        <item x="218"/>
        <item x="263"/>
        <item x="55"/>
        <item x="72"/>
        <item x="178"/>
        <item x="38"/>
        <item x="82"/>
        <item x="70"/>
        <item x="111"/>
        <item x="60"/>
        <item x="65"/>
        <item x="35"/>
        <item x="148"/>
        <item x="254"/>
        <item x="121"/>
        <item x="69"/>
        <item x="99"/>
        <item x="219"/>
        <item x="126"/>
        <item x="267"/>
        <item x="252"/>
        <item x="78"/>
        <item x="200"/>
        <item x="135"/>
        <item x="4"/>
        <item x="7"/>
        <item x="90"/>
        <item x="12"/>
        <item x="81"/>
        <item x="266"/>
        <item x="83"/>
        <item x="124"/>
        <item x="87"/>
        <item x="234"/>
        <item x="226"/>
        <item x="74"/>
        <item x="196"/>
        <item x="115"/>
        <item x="265"/>
        <item x="177"/>
        <item x="240"/>
        <item x="151"/>
        <item x="45"/>
        <item x="113"/>
        <item x="146"/>
        <item x="259"/>
        <item x="213"/>
        <item x="159"/>
        <item x="85"/>
        <item x="16"/>
        <item x="204"/>
        <item x="156"/>
        <item x="20"/>
        <item x="52"/>
        <item x="136"/>
        <item x="44"/>
        <item x="79"/>
        <item x="141"/>
        <item x="68"/>
        <item x="182"/>
        <item x="170"/>
        <item x="264"/>
        <item x="10"/>
        <item x="272"/>
        <item x="179"/>
        <item x="233"/>
        <item x="285"/>
        <item x="260"/>
        <item x="169"/>
        <item x="224"/>
        <item x="188"/>
        <item x="96"/>
        <item x="193"/>
        <item x="214"/>
        <item x="243"/>
        <item x="101"/>
        <item x="114"/>
        <item x="236"/>
        <item x="54"/>
        <item x="137"/>
        <item x="144"/>
        <item x="203"/>
        <item x="150"/>
        <item x="50"/>
        <item x="103"/>
        <item x="281"/>
        <item x="112"/>
        <item x="253"/>
        <item x="131"/>
        <item x="125"/>
        <item x="14"/>
        <item x="207"/>
        <item x="152"/>
        <item x="122"/>
        <item x="205"/>
        <item x="51"/>
        <item x="0"/>
        <item x="39"/>
        <item x="134"/>
        <item x="29"/>
        <item x="160"/>
        <item x="138"/>
        <item x="61"/>
        <item x="290"/>
        <item x="104"/>
        <item x="288"/>
        <item x="294"/>
        <item x="32"/>
        <item x="42"/>
        <item x="176"/>
        <item x="77"/>
        <item x="46"/>
        <item x="75"/>
        <item x="192"/>
        <item x="190"/>
        <item x="59"/>
        <item x="297"/>
        <item x="48"/>
        <item x="109"/>
        <item x="43"/>
        <item x="221"/>
        <item x="201"/>
        <item x="2"/>
        <item x="163"/>
        <item x="295"/>
        <item x="171"/>
        <item x="289"/>
        <item x="257"/>
        <item t="default"/>
      </items>
    </pivotField>
    <pivotField axis="axisRow" compact="0" outline="0" showAll="0">
      <items count="5">
        <item h="1" x="1"/>
        <item x="3"/>
        <item h="1" x="0"/>
        <item h="1" x="2"/>
        <item t="default"/>
      </items>
    </pivotField>
    <pivotField compact="0" outline="0" showAll="0"/>
    <pivotField compact="0" outline="0" showAll="0">
      <items count="4">
        <item x="1"/>
        <item x="0"/>
        <item x="2"/>
        <item t="default"/>
      </items>
    </pivotField>
    <pivotField compact="0" outline="0" showAll="0">
      <items count="4">
        <item x="0"/>
        <item x="2"/>
        <item x="1"/>
        <item t="default"/>
      </items>
    </pivotField>
    <pivotField compact="0" outline="0" showAll="0">
      <items count="4">
        <item x="1"/>
        <item x="0"/>
        <item x="2"/>
        <item t="default"/>
      </items>
    </pivotField>
    <pivotField compact="0" outline="0" showAll="0"/>
    <pivotField compact="0" numFmtId="1" outline="0" showAll="0"/>
    <pivotField compact="0" numFmtId="165" outline="0" showAll="0"/>
    <pivotField dataField="1" compact="0" numFmtId="165" outline="0" showAll="0"/>
    <pivotField compact="0" numFmtId="165" outline="0" showAll="0"/>
    <pivotField compact="0" numFmtId="165" outline="0" showAll="0"/>
    <pivotField compact="0" numFmtId="165" outline="0" showAll="0"/>
    <pivotField compact="0" numFmtId="166" outline="0" showAll="0"/>
    <pivotField compact="0" numFmtId="165" outline="0" showAll="0"/>
    <pivotField compact="0" outline="0" showAll="0">
      <items count="15">
        <item x="0"/>
        <item x="1"/>
        <item x="2"/>
        <item x="3"/>
        <item x="4"/>
        <item x="5"/>
        <item x="6"/>
        <item x="7"/>
        <item x="8"/>
        <item x="9"/>
        <item x="10"/>
        <item x="11"/>
        <item x="12"/>
        <item x="13"/>
        <item t="default"/>
      </items>
    </pivotField>
    <pivotField compact="0" outline="0" showAll="0">
      <items count="5">
        <item x="0"/>
        <item x="1"/>
        <item x="2"/>
        <item x="3"/>
        <item t="default"/>
      </items>
    </pivotField>
  </pivotFields>
  <rowFields count="1">
    <field x="2"/>
  </rowFields>
  <rowItems count="2">
    <i>
      <x v="1"/>
    </i>
    <i t="grand">
      <x/>
    </i>
  </rowItems>
  <colItems count="1">
    <i/>
  </colItems>
  <dataFields count="1">
    <dataField name="Sum of Revenue" fld="10" baseField="0" baseItem="0" numFmtId="165"/>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3A2DFD-457C-460D-8976-00A7E647CF5D}" name="PivotTable2"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5" firstHeaderRow="1" firstDataRow="1" firstDataCol="1"/>
  <pivotFields count="18">
    <pivotField compact="0" outline="0" showAll="0"/>
    <pivotField compact="0" numFmtId="164" outline="0" showAll="0">
      <items count="299">
        <item x="167"/>
        <item x="181"/>
        <item x="161"/>
        <item x="212"/>
        <item x="189"/>
        <item x="250"/>
        <item x="64"/>
        <item x="56"/>
        <item x="57"/>
        <item x="269"/>
        <item x="296"/>
        <item x="102"/>
        <item x="270"/>
        <item x="216"/>
        <item x="276"/>
        <item x="258"/>
        <item x="40"/>
        <item x="245"/>
        <item x="116"/>
        <item x="34"/>
        <item x="209"/>
        <item x="11"/>
        <item x="274"/>
        <item x="284"/>
        <item x="8"/>
        <item x="26"/>
        <item x="19"/>
        <item x="120"/>
        <item x="97"/>
        <item x="133"/>
        <item x="261"/>
        <item x="47"/>
        <item x="23"/>
        <item x="184"/>
        <item x="268"/>
        <item x="28"/>
        <item x="180"/>
        <item x="1"/>
        <item x="117"/>
        <item x="227"/>
        <item x="106"/>
        <item x="98"/>
        <item x="71"/>
        <item x="30"/>
        <item x="37"/>
        <item x="225"/>
        <item x="279"/>
        <item x="22"/>
        <item x="246"/>
        <item x="15"/>
        <item x="247"/>
        <item x="206"/>
        <item x="139"/>
        <item x="66"/>
        <item x="49"/>
        <item x="128"/>
        <item x="100"/>
        <item x="217"/>
        <item x="140"/>
        <item x="202"/>
        <item x="273"/>
        <item x="127"/>
        <item x="194"/>
        <item x="191"/>
        <item x="110"/>
        <item x="291"/>
        <item x="36"/>
        <item x="208"/>
        <item x="119"/>
        <item x="164"/>
        <item x="3"/>
        <item x="31"/>
        <item x="142"/>
        <item x="6"/>
        <item x="73"/>
        <item x="24"/>
        <item x="175"/>
        <item x="143"/>
        <item x="229"/>
        <item x="222"/>
        <item x="118"/>
        <item x="249"/>
        <item x="62"/>
        <item x="292"/>
        <item x="27"/>
        <item x="242"/>
        <item x="63"/>
        <item x="278"/>
        <item x="149"/>
        <item x="211"/>
        <item x="286"/>
        <item x="94"/>
        <item x="165"/>
        <item x="174"/>
        <item x="262"/>
        <item x="293"/>
        <item x="287"/>
        <item x="17"/>
        <item x="147"/>
        <item x="197"/>
        <item x="195"/>
        <item x="129"/>
        <item x="157"/>
        <item x="5"/>
        <item x="92"/>
        <item x="282"/>
        <item x="220"/>
        <item x="248"/>
        <item x="80"/>
        <item x="18"/>
        <item x="223"/>
        <item x="275"/>
        <item x="244"/>
        <item x="41"/>
        <item x="280"/>
        <item x="235"/>
        <item x="162"/>
        <item x="198"/>
        <item x="25"/>
        <item x="183"/>
        <item x="271"/>
        <item x="154"/>
        <item x="238"/>
        <item x="76"/>
        <item x="251"/>
        <item x="158"/>
        <item x="155"/>
        <item x="13"/>
        <item x="67"/>
        <item x="153"/>
        <item x="228"/>
        <item x="91"/>
        <item x="187"/>
        <item x="256"/>
        <item x="166"/>
        <item x="93"/>
        <item x="231"/>
        <item x="105"/>
        <item x="9"/>
        <item x="185"/>
        <item x="232"/>
        <item x="277"/>
        <item x="230"/>
        <item x="107"/>
        <item x="172"/>
        <item x="173"/>
        <item x="283"/>
        <item x="86"/>
        <item x="33"/>
        <item x="255"/>
        <item x="168"/>
        <item x="237"/>
        <item x="199"/>
        <item x="108"/>
        <item x="21"/>
        <item x="88"/>
        <item x="132"/>
        <item x="186"/>
        <item x="95"/>
        <item x="210"/>
        <item x="241"/>
        <item x="130"/>
        <item x="58"/>
        <item x="53"/>
        <item x="89"/>
        <item x="145"/>
        <item x="84"/>
        <item x="239"/>
        <item x="123"/>
        <item x="215"/>
        <item x="218"/>
        <item x="263"/>
        <item x="55"/>
        <item x="72"/>
        <item x="178"/>
        <item x="38"/>
        <item x="82"/>
        <item x="70"/>
        <item x="111"/>
        <item x="60"/>
        <item x="65"/>
        <item x="35"/>
        <item x="148"/>
        <item x="254"/>
        <item x="121"/>
        <item x="69"/>
        <item x="99"/>
        <item x="219"/>
        <item x="126"/>
        <item x="267"/>
        <item x="252"/>
        <item x="78"/>
        <item x="200"/>
        <item x="135"/>
        <item x="4"/>
        <item x="7"/>
        <item x="90"/>
        <item x="12"/>
        <item x="81"/>
        <item x="266"/>
        <item x="83"/>
        <item x="124"/>
        <item x="87"/>
        <item x="234"/>
        <item x="226"/>
        <item x="74"/>
        <item x="196"/>
        <item x="115"/>
        <item x="265"/>
        <item x="177"/>
        <item x="240"/>
        <item x="151"/>
        <item x="45"/>
        <item x="113"/>
        <item x="146"/>
        <item x="259"/>
        <item x="213"/>
        <item x="159"/>
        <item x="85"/>
        <item x="16"/>
        <item x="204"/>
        <item x="156"/>
        <item x="20"/>
        <item x="52"/>
        <item x="136"/>
        <item x="44"/>
        <item x="79"/>
        <item x="141"/>
        <item x="68"/>
        <item x="182"/>
        <item x="170"/>
        <item x="264"/>
        <item x="10"/>
        <item x="272"/>
        <item x="179"/>
        <item x="233"/>
        <item x="285"/>
        <item x="260"/>
        <item x="169"/>
        <item x="224"/>
        <item x="188"/>
        <item x="96"/>
        <item x="193"/>
        <item x="214"/>
        <item x="243"/>
        <item x="101"/>
        <item x="114"/>
        <item x="236"/>
        <item x="54"/>
        <item x="137"/>
        <item x="144"/>
        <item x="203"/>
        <item x="150"/>
        <item x="50"/>
        <item x="103"/>
        <item x="281"/>
        <item x="112"/>
        <item x="253"/>
        <item x="131"/>
        <item x="125"/>
        <item x="14"/>
        <item x="207"/>
        <item x="152"/>
        <item x="122"/>
        <item x="205"/>
        <item x="51"/>
        <item x="0"/>
        <item x="39"/>
        <item x="134"/>
        <item x="29"/>
        <item x="160"/>
        <item x="138"/>
        <item x="61"/>
        <item x="290"/>
        <item x="104"/>
        <item x="288"/>
        <item x="294"/>
        <item x="32"/>
        <item x="42"/>
        <item x="176"/>
        <item x="77"/>
        <item x="46"/>
        <item x="75"/>
        <item x="192"/>
        <item x="190"/>
        <item x="59"/>
        <item x="297"/>
        <item x="48"/>
        <item x="109"/>
        <item x="43"/>
        <item x="221"/>
        <item x="201"/>
        <item x="2"/>
        <item x="163"/>
        <item x="295"/>
        <item x="171"/>
        <item x="289"/>
        <item x="257"/>
        <item t="default"/>
      </items>
    </pivotField>
    <pivotField axis="axisRow" compact="0" outline="0" showAll="0">
      <items count="5">
        <item h="1" x="1"/>
        <item x="3"/>
        <item h="1" x="0"/>
        <item h="1" x="2"/>
        <item t="default"/>
      </items>
    </pivotField>
    <pivotField compact="0" outline="0" showAll="0"/>
    <pivotField compact="0" outline="0" showAll="0">
      <items count="4">
        <item x="1"/>
        <item x="0"/>
        <item x="2"/>
        <item t="default"/>
      </items>
    </pivotField>
    <pivotField compact="0" outline="0" showAll="0">
      <items count="4">
        <item x="0"/>
        <item x="2"/>
        <item x="1"/>
        <item t="default"/>
      </items>
    </pivotField>
    <pivotField compact="0" outline="0" showAll="0">
      <items count="4">
        <item x="1"/>
        <item x="0"/>
        <item x="2"/>
        <item t="default"/>
      </items>
    </pivotField>
    <pivotField compact="0" outline="0" showAll="0"/>
    <pivotField dataField="1" compact="0" numFmtId="1" outline="0" showAll="0"/>
    <pivotField compact="0" numFmtId="165" outline="0" showAll="0"/>
    <pivotField compact="0" numFmtId="165" outline="0" showAll="0"/>
    <pivotField compact="0" numFmtId="165" outline="0" showAll="0"/>
    <pivotField compact="0" numFmtId="165" outline="0" showAll="0"/>
    <pivotField compact="0" numFmtId="165" outline="0" showAll="0"/>
    <pivotField compact="0" numFmtId="166" outline="0" showAll="0"/>
    <pivotField compact="0" numFmtId="165" outline="0" showAll="0"/>
    <pivotField compact="0" outline="0" showAll="0">
      <items count="15">
        <item x="0"/>
        <item x="1"/>
        <item x="2"/>
        <item x="3"/>
        <item x="4"/>
        <item x="5"/>
        <item x="6"/>
        <item x="7"/>
        <item x="8"/>
        <item x="9"/>
        <item x="10"/>
        <item x="11"/>
        <item x="12"/>
        <item x="13"/>
        <item t="default"/>
      </items>
    </pivotField>
    <pivotField compact="0" outline="0" showAll="0">
      <items count="5">
        <item x="0"/>
        <item x="1"/>
        <item x="2"/>
        <item x="3"/>
        <item t="default"/>
      </items>
    </pivotField>
  </pivotFields>
  <rowFields count="1">
    <field x="2"/>
  </rowFields>
  <rowItems count="2">
    <i>
      <x v="1"/>
    </i>
    <i t="grand">
      <x/>
    </i>
  </rowItems>
  <colItems count="1">
    <i/>
  </colItems>
  <dataFields count="1">
    <dataField name="Sum of Quantity" fld="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54FA81-5A48-4D57-99CF-A008F301F80A}" name="PivotTable3"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3:B7" firstHeaderRow="1" firstDataRow="1" firstDataCol="1"/>
  <pivotFields count="18">
    <pivotField compact="0" outline="0" showAll="0"/>
    <pivotField compact="0" numFmtId="164" outline="0" showAll="0">
      <items count="299">
        <item x="167"/>
        <item x="181"/>
        <item x="161"/>
        <item x="212"/>
        <item x="189"/>
        <item x="250"/>
        <item x="64"/>
        <item x="56"/>
        <item x="57"/>
        <item x="269"/>
        <item x="296"/>
        <item x="102"/>
        <item x="270"/>
        <item x="216"/>
        <item x="276"/>
        <item x="258"/>
        <item x="40"/>
        <item x="245"/>
        <item x="116"/>
        <item x="34"/>
        <item x="209"/>
        <item x="11"/>
        <item x="274"/>
        <item x="284"/>
        <item x="8"/>
        <item x="26"/>
        <item x="19"/>
        <item x="120"/>
        <item x="97"/>
        <item x="133"/>
        <item x="261"/>
        <item x="47"/>
        <item x="23"/>
        <item x="184"/>
        <item x="268"/>
        <item x="28"/>
        <item x="180"/>
        <item x="1"/>
        <item x="117"/>
        <item x="227"/>
        <item x="106"/>
        <item x="98"/>
        <item x="71"/>
        <item x="30"/>
        <item x="37"/>
        <item x="225"/>
        <item x="279"/>
        <item x="22"/>
        <item x="246"/>
        <item x="15"/>
        <item x="247"/>
        <item x="206"/>
        <item x="139"/>
        <item x="66"/>
        <item x="49"/>
        <item x="128"/>
        <item x="100"/>
        <item x="217"/>
        <item x="140"/>
        <item x="202"/>
        <item x="273"/>
        <item x="127"/>
        <item x="194"/>
        <item x="191"/>
        <item x="110"/>
        <item x="291"/>
        <item x="36"/>
        <item x="208"/>
        <item x="119"/>
        <item x="164"/>
        <item x="3"/>
        <item x="31"/>
        <item x="142"/>
        <item x="6"/>
        <item x="73"/>
        <item x="24"/>
        <item x="175"/>
        <item x="143"/>
        <item x="229"/>
        <item x="222"/>
        <item x="118"/>
        <item x="249"/>
        <item x="62"/>
        <item x="292"/>
        <item x="27"/>
        <item x="242"/>
        <item x="63"/>
        <item x="278"/>
        <item x="149"/>
        <item x="211"/>
        <item x="286"/>
        <item x="94"/>
        <item x="165"/>
        <item x="174"/>
        <item x="262"/>
        <item x="293"/>
        <item x="287"/>
        <item x="17"/>
        <item x="147"/>
        <item x="197"/>
        <item x="195"/>
        <item x="129"/>
        <item x="157"/>
        <item x="5"/>
        <item x="92"/>
        <item x="282"/>
        <item x="220"/>
        <item x="248"/>
        <item x="80"/>
        <item x="18"/>
        <item x="223"/>
        <item x="275"/>
        <item x="244"/>
        <item x="41"/>
        <item x="280"/>
        <item x="235"/>
        <item x="162"/>
        <item x="198"/>
        <item x="25"/>
        <item x="183"/>
        <item x="271"/>
        <item x="154"/>
        <item x="238"/>
        <item x="76"/>
        <item x="251"/>
        <item x="158"/>
        <item x="155"/>
        <item x="13"/>
        <item x="67"/>
        <item x="153"/>
        <item x="228"/>
        <item x="91"/>
        <item x="187"/>
        <item x="256"/>
        <item x="166"/>
        <item x="93"/>
        <item x="231"/>
        <item x="105"/>
        <item x="9"/>
        <item x="185"/>
        <item x="232"/>
        <item x="277"/>
        <item x="230"/>
        <item x="107"/>
        <item x="172"/>
        <item x="173"/>
        <item x="283"/>
        <item x="86"/>
        <item x="33"/>
        <item x="255"/>
        <item x="168"/>
        <item x="237"/>
        <item x="199"/>
        <item x="108"/>
        <item x="21"/>
        <item x="88"/>
        <item x="132"/>
        <item x="186"/>
        <item x="95"/>
        <item x="210"/>
        <item x="241"/>
        <item x="130"/>
        <item x="58"/>
        <item x="53"/>
        <item x="89"/>
        <item x="145"/>
        <item x="84"/>
        <item x="239"/>
        <item x="123"/>
        <item x="215"/>
        <item x="218"/>
        <item x="263"/>
        <item x="55"/>
        <item x="72"/>
        <item x="178"/>
        <item x="38"/>
        <item x="82"/>
        <item x="70"/>
        <item x="111"/>
        <item x="60"/>
        <item x="65"/>
        <item x="35"/>
        <item x="148"/>
        <item x="254"/>
        <item x="121"/>
        <item x="69"/>
        <item x="99"/>
        <item x="219"/>
        <item x="126"/>
        <item x="267"/>
        <item x="252"/>
        <item x="78"/>
        <item x="200"/>
        <item x="135"/>
        <item x="4"/>
        <item x="7"/>
        <item x="90"/>
        <item x="12"/>
        <item x="81"/>
        <item x="266"/>
        <item x="83"/>
        <item x="124"/>
        <item x="87"/>
        <item x="234"/>
        <item x="226"/>
        <item x="74"/>
        <item x="196"/>
        <item x="115"/>
        <item x="265"/>
        <item x="177"/>
        <item x="240"/>
        <item x="151"/>
        <item x="45"/>
        <item x="113"/>
        <item x="146"/>
        <item x="259"/>
        <item x="213"/>
        <item x="159"/>
        <item x="85"/>
        <item x="16"/>
        <item x="204"/>
        <item x="156"/>
        <item x="20"/>
        <item x="52"/>
        <item x="136"/>
        <item x="44"/>
        <item x="79"/>
        <item x="141"/>
        <item x="68"/>
        <item x="182"/>
        <item x="170"/>
        <item x="264"/>
        <item x="10"/>
        <item x="272"/>
        <item x="179"/>
        <item x="233"/>
        <item x="285"/>
        <item x="260"/>
        <item x="169"/>
        <item x="224"/>
        <item x="188"/>
        <item x="96"/>
        <item x="193"/>
        <item x="214"/>
        <item x="243"/>
        <item x="101"/>
        <item x="114"/>
        <item x="236"/>
        <item x="54"/>
        <item x="137"/>
        <item x="144"/>
        <item x="203"/>
        <item x="150"/>
        <item x="50"/>
        <item x="103"/>
        <item x="281"/>
        <item x="112"/>
        <item x="253"/>
        <item x="131"/>
        <item x="125"/>
        <item x="14"/>
        <item x="207"/>
        <item x="152"/>
        <item x="122"/>
        <item x="205"/>
        <item x="51"/>
        <item x="0"/>
        <item x="39"/>
        <item x="134"/>
        <item x="29"/>
        <item x="160"/>
        <item x="138"/>
        <item x="61"/>
        <item x="290"/>
        <item x="104"/>
        <item x="288"/>
        <item x="294"/>
        <item x="32"/>
        <item x="42"/>
        <item x="176"/>
        <item x="77"/>
        <item x="46"/>
        <item x="75"/>
        <item x="192"/>
        <item x="190"/>
        <item x="59"/>
        <item x="297"/>
        <item x="48"/>
        <item x="109"/>
        <item x="43"/>
        <item x="221"/>
        <item x="201"/>
        <item x="2"/>
        <item x="163"/>
        <item x="295"/>
        <item x="171"/>
        <item x="289"/>
        <item x="257"/>
        <item t="default"/>
      </items>
    </pivotField>
    <pivotField compact="0" outline="0" showAll="0">
      <items count="5">
        <item h="1" x="1"/>
        <item x="3"/>
        <item h="1" x="0"/>
        <item h="1" x="2"/>
        <item t="default"/>
      </items>
    </pivotField>
    <pivotField compact="0" outline="0" showAll="0"/>
    <pivotField compact="0" outline="0" showAll="0">
      <items count="4">
        <item x="1"/>
        <item x="0"/>
        <item x="2"/>
        <item t="default"/>
      </items>
    </pivotField>
    <pivotField compact="0" outline="0" showAll="0">
      <items count="4">
        <item x="0"/>
        <item x="2"/>
        <item x="1"/>
        <item t="default"/>
      </items>
    </pivotField>
    <pivotField axis="axisRow" compact="0" outline="0" showAll="0">
      <items count="4">
        <item x="1"/>
        <item x="0"/>
        <item x="2"/>
        <item t="default"/>
      </items>
    </pivotField>
    <pivotField compact="0" outline="0" showAll="0"/>
    <pivotField compact="0" numFmtId="1" outline="0" showAll="0"/>
    <pivotField compact="0" numFmtId="165" outline="0" showAll="0"/>
    <pivotField dataField="1" compact="0" numFmtId="165" outline="0" showAll="0"/>
    <pivotField compact="0" numFmtId="165" outline="0" showAll="0"/>
    <pivotField compact="0" numFmtId="165" outline="0" showAll="0"/>
    <pivotField compact="0" numFmtId="165" outline="0" showAll="0"/>
    <pivotField compact="0" numFmtId="166" outline="0" showAll="0"/>
    <pivotField compact="0" numFmtId="165" outline="0" showAll="0"/>
    <pivotField compact="0" outline="0" showAll="0">
      <items count="15">
        <item x="0"/>
        <item x="1"/>
        <item x="2"/>
        <item x="3"/>
        <item x="4"/>
        <item x="5"/>
        <item x="6"/>
        <item x="7"/>
        <item x="8"/>
        <item x="9"/>
        <item x="10"/>
        <item x="11"/>
        <item x="12"/>
        <item x="13"/>
        <item t="default"/>
      </items>
    </pivotField>
    <pivotField compact="0" outline="0" showAll="0">
      <items count="5">
        <item x="0"/>
        <item x="1"/>
        <item x="2"/>
        <item x="3"/>
        <item t="default"/>
      </items>
    </pivotField>
  </pivotFields>
  <rowFields count="1">
    <field x="6"/>
  </rowFields>
  <rowItems count="4">
    <i>
      <x/>
    </i>
    <i>
      <x v="1"/>
    </i>
    <i>
      <x v="2"/>
    </i>
    <i t="grand">
      <x/>
    </i>
  </rowItems>
  <colItems count="1">
    <i/>
  </colItems>
  <dataFields count="1">
    <dataField name="Sum of Revenue" fld="10" baseField="0" baseItem="0"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536979-BD72-4F0C-B73F-1B4810288D18}" name="PivotTable4"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3:B7" firstHeaderRow="1" firstDataRow="1" firstDataCol="1"/>
  <pivotFields count="18">
    <pivotField compact="0" outline="0" showAll="0"/>
    <pivotField compact="0" numFmtId="164" outline="0" showAll="0">
      <items count="299">
        <item x="167"/>
        <item x="181"/>
        <item x="161"/>
        <item x="212"/>
        <item x="189"/>
        <item x="250"/>
        <item x="64"/>
        <item x="56"/>
        <item x="57"/>
        <item x="269"/>
        <item x="296"/>
        <item x="102"/>
        <item x="270"/>
        <item x="216"/>
        <item x="276"/>
        <item x="258"/>
        <item x="40"/>
        <item x="245"/>
        <item x="116"/>
        <item x="34"/>
        <item x="209"/>
        <item x="11"/>
        <item x="274"/>
        <item x="284"/>
        <item x="8"/>
        <item x="26"/>
        <item x="19"/>
        <item x="120"/>
        <item x="97"/>
        <item x="133"/>
        <item x="261"/>
        <item x="47"/>
        <item x="23"/>
        <item x="184"/>
        <item x="268"/>
        <item x="28"/>
        <item x="180"/>
        <item x="1"/>
        <item x="117"/>
        <item x="227"/>
        <item x="106"/>
        <item x="98"/>
        <item x="71"/>
        <item x="30"/>
        <item x="37"/>
        <item x="225"/>
        <item x="279"/>
        <item x="22"/>
        <item x="246"/>
        <item x="15"/>
        <item x="247"/>
        <item x="206"/>
        <item x="139"/>
        <item x="66"/>
        <item x="49"/>
        <item x="128"/>
        <item x="100"/>
        <item x="217"/>
        <item x="140"/>
        <item x="202"/>
        <item x="273"/>
        <item x="127"/>
        <item x="194"/>
        <item x="191"/>
        <item x="110"/>
        <item x="291"/>
        <item x="36"/>
        <item x="208"/>
        <item x="119"/>
        <item x="164"/>
        <item x="3"/>
        <item x="31"/>
        <item x="142"/>
        <item x="6"/>
        <item x="73"/>
        <item x="24"/>
        <item x="175"/>
        <item x="143"/>
        <item x="229"/>
        <item x="222"/>
        <item x="118"/>
        <item x="249"/>
        <item x="62"/>
        <item x="292"/>
        <item x="27"/>
        <item x="242"/>
        <item x="63"/>
        <item x="278"/>
        <item x="149"/>
        <item x="211"/>
        <item x="286"/>
        <item x="94"/>
        <item x="165"/>
        <item x="174"/>
        <item x="262"/>
        <item x="293"/>
        <item x="287"/>
        <item x="17"/>
        <item x="147"/>
        <item x="197"/>
        <item x="195"/>
        <item x="129"/>
        <item x="157"/>
        <item x="5"/>
        <item x="92"/>
        <item x="282"/>
        <item x="220"/>
        <item x="248"/>
        <item x="80"/>
        <item x="18"/>
        <item x="223"/>
        <item x="275"/>
        <item x="244"/>
        <item x="41"/>
        <item x="280"/>
        <item x="235"/>
        <item x="162"/>
        <item x="198"/>
        <item x="25"/>
        <item x="183"/>
        <item x="271"/>
        <item x="154"/>
        <item x="238"/>
        <item x="76"/>
        <item x="251"/>
        <item x="158"/>
        <item x="155"/>
        <item x="13"/>
        <item x="67"/>
        <item x="153"/>
        <item x="228"/>
        <item x="91"/>
        <item x="187"/>
        <item x="256"/>
        <item x="166"/>
        <item x="93"/>
        <item x="231"/>
        <item x="105"/>
        <item x="9"/>
        <item x="185"/>
        <item x="232"/>
        <item x="277"/>
        <item x="230"/>
        <item x="107"/>
        <item x="172"/>
        <item x="173"/>
        <item x="283"/>
        <item x="86"/>
        <item x="33"/>
        <item x="255"/>
        <item x="168"/>
        <item x="237"/>
        <item x="199"/>
        <item x="108"/>
        <item x="21"/>
        <item x="88"/>
        <item x="132"/>
        <item x="186"/>
        <item x="95"/>
        <item x="210"/>
        <item x="241"/>
        <item x="130"/>
        <item x="58"/>
        <item x="53"/>
        <item x="89"/>
        <item x="145"/>
        <item x="84"/>
        <item x="239"/>
        <item x="123"/>
        <item x="215"/>
        <item x="218"/>
        <item x="263"/>
        <item x="55"/>
        <item x="72"/>
        <item x="178"/>
        <item x="38"/>
        <item x="82"/>
        <item x="70"/>
        <item x="111"/>
        <item x="60"/>
        <item x="65"/>
        <item x="35"/>
        <item x="148"/>
        <item x="254"/>
        <item x="121"/>
        <item x="69"/>
        <item x="99"/>
        <item x="219"/>
        <item x="126"/>
        <item x="267"/>
        <item x="252"/>
        <item x="78"/>
        <item x="200"/>
        <item x="135"/>
        <item x="4"/>
        <item x="7"/>
        <item x="90"/>
        <item x="12"/>
        <item x="81"/>
        <item x="266"/>
        <item x="83"/>
        <item x="124"/>
        <item x="87"/>
        <item x="234"/>
        <item x="226"/>
        <item x="74"/>
        <item x="196"/>
        <item x="115"/>
        <item x="265"/>
        <item x="177"/>
        <item x="240"/>
        <item x="151"/>
        <item x="45"/>
        <item x="113"/>
        <item x="146"/>
        <item x="259"/>
        <item x="213"/>
        <item x="159"/>
        <item x="85"/>
        <item x="16"/>
        <item x="204"/>
        <item x="156"/>
        <item x="20"/>
        <item x="52"/>
        <item x="136"/>
        <item x="44"/>
        <item x="79"/>
        <item x="141"/>
        <item x="68"/>
        <item x="182"/>
        <item x="170"/>
        <item x="264"/>
        <item x="10"/>
        <item x="272"/>
        <item x="179"/>
        <item x="233"/>
        <item x="285"/>
        <item x="260"/>
        <item x="169"/>
        <item x="224"/>
        <item x="188"/>
        <item x="96"/>
        <item x="193"/>
        <item x="214"/>
        <item x="243"/>
        <item x="101"/>
        <item x="114"/>
        <item x="236"/>
        <item x="54"/>
        <item x="137"/>
        <item x="144"/>
        <item x="203"/>
        <item x="150"/>
        <item x="50"/>
        <item x="103"/>
        <item x="281"/>
        <item x="112"/>
        <item x="253"/>
        <item x="131"/>
        <item x="125"/>
        <item x="14"/>
        <item x="207"/>
        <item x="152"/>
        <item x="122"/>
        <item x="205"/>
        <item x="51"/>
        <item x="0"/>
        <item x="39"/>
        <item x="134"/>
        <item x="29"/>
        <item x="160"/>
        <item x="138"/>
        <item x="61"/>
        <item x="290"/>
        <item x="104"/>
        <item x="288"/>
        <item x="294"/>
        <item x="32"/>
        <item x="42"/>
        <item x="176"/>
        <item x="77"/>
        <item x="46"/>
        <item x="75"/>
        <item x="192"/>
        <item x="190"/>
        <item x="59"/>
        <item x="297"/>
        <item x="48"/>
        <item x="109"/>
        <item x="43"/>
        <item x="221"/>
        <item x="201"/>
        <item x="2"/>
        <item x="163"/>
        <item x="295"/>
        <item x="171"/>
        <item x="289"/>
        <item x="257"/>
        <item t="default"/>
      </items>
    </pivotField>
    <pivotField compact="0" outline="0" showAll="0">
      <items count="5">
        <item h="1" x="1"/>
        <item x="3"/>
        <item h="1" x="0"/>
        <item h="1" x="2"/>
        <item t="default"/>
      </items>
    </pivotField>
    <pivotField compact="0" outline="0" showAll="0"/>
    <pivotField compact="0" outline="0" showAll="0">
      <items count="4">
        <item x="1"/>
        <item x="0"/>
        <item x="2"/>
        <item t="default"/>
      </items>
    </pivotField>
    <pivotField compact="0" outline="0" showAll="0">
      <items count="4">
        <item x="0"/>
        <item x="2"/>
        <item x="1"/>
        <item t="default"/>
      </items>
    </pivotField>
    <pivotField axis="axisRow" compact="0" outline="0" showAll="0">
      <items count="4">
        <item x="1"/>
        <item x="0"/>
        <item x="2"/>
        <item t="default"/>
      </items>
    </pivotField>
    <pivotField compact="0" outline="0" showAll="0"/>
    <pivotField compact="0" numFmtId="1" outline="0" showAll="0"/>
    <pivotField compact="0" numFmtId="165" outline="0" showAll="0"/>
    <pivotField compact="0" numFmtId="165" outline="0" showAll="0"/>
    <pivotField compact="0" numFmtId="165" outline="0" showAll="0"/>
    <pivotField compact="0" numFmtId="165" outline="0" showAll="0"/>
    <pivotField dataField="1" compact="0" numFmtId="165" outline="0" showAll="0"/>
    <pivotField compact="0" numFmtId="166" outline="0" showAll="0"/>
    <pivotField compact="0" numFmtId="165" outline="0" showAll="0"/>
    <pivotField compact="0" outline="0" showAll="0">
      <items count="15">
        <item x="0"/>
        <item x="1"/>
        <item x="2"/>
        <item x="3"/>
        <item x="4"/>
        <item x="5"/>
        <item x="6"/>
        <item x="7"/>
        <item x="8"/>
        <item x="9"/>
        <item x="10"/>
        <item x="11"/>
        <item x="12"/>
        <item x="13"/>
        <item t="default"/>
      </items>
    </pivotField>
    <pivotField compact="0" outline="0" showAll="0">
      <items count="5">
        <item x="0"/>
        <item x="1"/>
        <item x="2"/>
        <item x="3"/>
        <item t="default"/>
      </items>
    </pivotField>
  </pivotFields>
  <rowFields count="1">
    <field x="6"/>
  </rowFields>
  <rowItems count="4">
    <i>
      <x/>
    </i>
    <i>
      <x v="1"/>
    </i>
    <i>
      <x v="2"/>
    </i>
    <i t="grand">
      <x/>
    </i>
  </rowItems>
  <colItems count="1">
    <i/>
  </colItems>
  <dataFields count="1">
    <dataField name="Sum of Profit" fld="13"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B300AD-797F-4B9B-ADF9-3B7BDAA3D01A}" name="PivotTable5"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3:C17" firstHeaderRow="1" firstDataRow="1" firstDataCol="2"/>
  <pivotFields count="18">
    <pivotField compact="0" outline="0" showAll="0"/>
    <pivotField compact="0" numFmtId="164" outline="0" showAll="0">
      <items count="299">
        <item x="167"/>
        <item x="181"/>
        <item x="161"/>
        <item x="212"/>
        <item x="189"/>
        <item x="250"/>
        <item x="64"/>
        <item x="56"/>
        <item x="57"/>
        <item x="269"/>
        <item x="296"/>
        <item x="102"/>
        <item x="270"/>
        <item x="216"/>
        <item x="276"/>
        <item x="258"/>
        <item x="40"/>
        <item x="245"/>
        <item x="116"/>
        <item x="34"/>
        <item x="209"/>
        <item x="11"/>
        <item x="274"/>
        <item x="284"/>
        <item x="8"/>
        <item x="26"/>
        <item x="19"/>
        <item x="120"/>
        <item x="97"/>
        <item x="133"/>
        <item x="261"/>
        <item x="47"/>
        <item x="23"/>
        <item x="184"/>
        <item x="268"/>
        <item x="28"/>
        <item x="180"/>
        <item x="1"/>
        <item x="117"/>
        <item x="227"/>
        <item x="106"/>
        <item x="98"/>
        <item x="71"/>
        <item x="30"/>
        <item x="37"/>
        <item x="225"/>
        <item x="279"/>
        <item x="22"/>
        <item x="246"/>
        <item x="15"/>
        <item x="247"/>
        <item x="206"/>
        <item x="139"/>
        <item x="66"/>
        <item x="49"/>
        <item x="128"/>
        <item x="100"/>
        <item x="217"/>
        <item x="140"/>
        <item x="202"/>
        <item x="273"/>
        <item x="127"/>
        <item x="194"/>
        <item x="191"/>
        <item x="110"/>
        <item x="291"/>
        <item x="36"/>
        <item x="208"/>
        <item x="119"/>
        <item x="164"/>
        <item x="3"/>
        <item x="31"/>
        <item x="142"/>
        <item x="6"/>
        <item x="73"/>
        <item x="24"/>
        <item x="175"/>
        <item x="143"/>
        <item x="229"/>
        <item x="222"/>
        <item x="118"/>
        <item x="249"/>
        <item x="62"/>
        <item x="292"/>
        <item x="27"/>
        <item x="242"/>
        <item x="63"/>
        <item x="278"/>
        <item x="149"/>
        <item x="211"/>
        <item x="286"/>
        <item x="94"/>
        <item x="165"/>
        <item x="174"/>
        <item x="262"/>
        <item x="293"/>
        <item x="287"/>
        <item x="17"/>
        <item x="147"/>
        <item x="197"/>
        <item x="195"/>
        <item x="129"/>
        <item x="157"/>
        <item x="5"/>
        <item x="92"/>
        <item x="282"/>
        <item x="220"/>
        <item x="248"/>
        <item x="80"/>
        <item x="18"/>
        <item x="223"/>
        <item x="275"/>
        <item x="244"/>
        <item x="41"/>
        <item x="280"/>
        <item x="235"/>
        <item x="162"/>
        <item x="198"/>
        <item x="25"/>
        <item x="183"/>
        <item x="271"/>
        <item x="154"/>
        <item x="238"/>
        <item x="76"/>
        <item x="251"/>
        <item x="158"/>
        <item x="155"/>
        <item x="13"/>
        <item x="67"/>
        <item x="153"/>
        <item x="228"/>
        <item x="91"/>
        <item x="187"/>
        <item x="256"/>
        <item x="166"/>
        <item x="93"/>
        <item x="231"/>
        <item x="105"/>
        <item x="9"/>
        <item x="185"/>
        <item x="232"/>
        <item x="277"/>
        <item x="230"/>
        <item x="107"/>
        <item x="172"/>
        <item x="173"/>
        <item x="283"/>
        <item x="86"/>
        <item x="33"/>
        <item x="255"/>
        <item x="168"/>
        <item x="237"/>
        <item x="199"/>
        <item x="108"/>
        <item x="21"/>
        <item x="88"/>
        <item x="132"/>
        <item x="186"/>
        <item x="95"/>
        <item x="210"/>
        <item x="241"/>
        <item x="130"/>
        <item x="58"/>
        <item x="53"/>
        <item x="89"/>
        <item x="145"/>
        <item x="84"/>
        <item x="239"/>
        <item x="123"/>
        <item x="215"/>
        <item x="218"/>
        <item x="263"/>
        <item x="55"/>
        <item x="72"/>
        <item x="178"/>
        <item x="38"/>
        <item x="82"/>
        <item x="70"/>
        <item x="111"/>
        <item x="60"/>
        <item x="65"/>
        <item x="35"/>
        <item x="148"/>
        <item x="254"/>
        <item x="121"/>
        <item x="69"/>
        <item x="99"/>
        <item x="219"/>
        <item x="126"/>
        <item x="267"/>
        <item x="252"/>
        <item x="78"/>
        <item x="200"/>
        <item x="135"/>
        <item x="4"/>
        <item x="7"/>
        <item x="90"/>
        <item x="12"/>
        <item x="81"/>
        <item x="266"/>
        <item x="83"/>
        <item x="124"/>
        <item x="87"/>
        <item x="234"/>
        <item x="226"/>
        <item x="74"/>
        <item x="196"/>
        <item x="115"/>
        <item x="265"/>
        <item x="177"/>
        <item x="240"/>
        <item x="151"/>
        <item x="45"/>
        <item x="113"/>
        <item x="146"/>
        <item x="259"/>
        <item x="213"/>
        <item x="159"/>
        <item x="85"/>
        <item x="16"/>
        <item x="204"/>
        <item x="156"/>
        <item x="20"/>
        <item x="52"/>
        <item x="136"/>
        <item x="44"/>
        <item x="79"/>
        <item x="141"/>
        <item x="68"/>
        <item x="182"/>
        <item x="170"/>
        <item x="264"/>
        <item x="10"/>
        <item x="272"/>
        <item x="179"/>
        <item x="233"/>
        <item x="285"/>
        <item x="260"/>
        <item x="169"/>
        <item x="224"/>
        <item x="188"/>
        <item x="96"/>
        <item x="193"/>
        <item x="214"/>
        <item x="243"/>
        <item x="101"/>
        <item x="114"/>
        <item x="236"/>
        <item x="54"/>
        <item x="137"/>
        <item x="144"/>
        <item x="203"/>
        <item x="150"/>
        <item x="50"/>
        <item x="103"/>
        <item x="281"/>
        <item x="112"/>
        <item x="253"/>
        <item x="131"/>
        <item x="125"/>
        <item x="14"/>
        <item x="207"/>
        <item x="152"/>
        <item x="122"/>
        <item x="205"/>
        <item x="51"/>
        <item x="0"/>
        <item x="39"/>
        <item x="134"/>
        <item x="29"/>
        <item x="160"/>
        <item x="138"/>
        <item x="61"/>
        <item x="290"/>
        <item x="104"/>
        <item x="288"/>
        <item x="294"/>
        <item x="32"/>
        <item x="42"/>
        <item x="176"/>
        <item x="77"/>
        <item x="46"/>
        <item x="75"/>
        <item x="192"/>
        <item x="190"/>
        <item x="59"/>
        <item x="297"/>
        <item x="48"/>
        <item x="109"/>
        <item x="43"/>
        <item x="221"/>
        <item x="201"/>
        <item x="2"/>
        <item x="163"/>
        <item x="295"/>
        <item x="171"/>
        <item x="289"/>
        <item x="257"/>
        <item t="default"/>
      </items>
    </pivotField>
    <pivotField compact="0" outline="0" showAll="0">
      <items count="5">
        <item h="1" x="1"/>
        <item x="3"/>
        <item h="1" x="0"/>
        <item h="1" x="2"/>
        <item t="default"/>
      </items>
    </pivotField>
    <pivotField compact="0" outline="0" showAll="0"/>
    <pivotField compact="0" outline="0" showAll="0">
      <items count="4">
        <item x="1"/>
        <item x="0"/>
        <item x="2"/>
        <item t="default"/>
      </items>
    </pivotField>
    <pivotField compact="0" outline="0" showAll="0">
      <items count="4">
        <item x="0"/>
        <item x="2"/>
        <item x="1"/>
        <item t="default"/>
      </items>
    </pivotField>
    <pivotField compact="0" outline="0" showAll="0">
      <items count="4">
        <item x="1"/>
        <item x="0"/>
        <item x="2"/>
        <item t="default"/>
      </items>
    </pivotField>
    <pivotField compact="0" outline="0" showAll="0"/>
    <pivotField compact="0" numFmtId="1" outline="0" showAll="0"/>
    <pivotField compact="0" numFmtId="165" outline="0" showAll="0"/>
    <pivotField dataField="1" compact="0" numFmtId="165" outline="0" showAll="0"/>
    <pivotField compact="0" numFmtId="165" outline="0" showAll="0"/>
    <pivotField compact="0" numFmtId="165" outline="0" showAll="0"/>
    <pivotField compact="0" numFmtId="165" outline="0" showAll="0"/>
    <pivotField compact="0" numFmtId="166" outline="0" showAll="0"/>
    <pivotField compact="0" numFmtId="165" outline="0" showAll="0"/>
    <pivotField axis="axisRow" compact="0" outline="0" showAll="0">
      <items count="15">
        <item x="0"/>
        <item x="1"/>
        <item x="2"/>
        <item x="3"/>
        <item x="4"/>
        <item x="5"/>
        <item x="6"/>
        <item x="7"/>
        <item x="8"/>
        <item x="9"/>
        <item x="10"/>
        <item x="11"/>
        <item x="12"/>
        <item x="13"/>
        <item t="default"/>
      </items>
    </pivotField>
    <pivotField axis="axisRow" compact="0" outline="0" showAll="0">
      <items count="5">
        <item x="0"/>
        <item x="1"/>
        <item x="2"/>
        <item x="3"/>
        <item t="default"/>
      </items>
    </pivotField>
  </pivotFields>
  <rowFields count="2">
    <field x="17"/>
    <field x="16"/>
  </rowFields>
  <rowItems count="14">
    <i>
      <x v="1"/>
      <x v="1"/>
    </i>
    <i r="1">
      <x v="2"/>
    </i>
    <i r="1">
      <x v="3"/>
    </i>
    <i r="1">
      <x v="4"/>
    </i>
    <i r="1">
      <x v="5"/>
    </i>
    <i r="1">
      <x v="6"/>
    </i>
    <i r="1">
      <x v="7"/>
    </i>
    <i r="1">
      <x v="8"/>
    </i>
    <i r="1">
      <x v="9"/>
    </i>
    <i r="1">
      <x v="10"/>
    </i>
    <i r="1">
      <x v="11"/>
    </i>
    <i r="1">
      <x v="12"/>
    </i>
    <i t="default">
      <x v="1"/>
    </i>
    <i t="grand">
      <x/>
    </i>
  </rowItems>
  <colItems count="1">
    <i/>
  </colItems>
  <dataFields count="1">
    <dataField name="Sum of Revenue" fld="10" baseField="0" baseItem="0"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BC0FFB-FD12-4571-8BDA-A34F2E18033E}" name="PivotTable6"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3:B7" firstHeaderRow="1" firstDataRow="1" firstDataCol="1"/>
  <pivotFields count="18">
    <pivotField compact="0" outline="0" showAll="0"/>
    <pivotField compact="0" numFmtId="164" outline="0" showAll="0">
      <items count="299">
        <item x="167"/>
        <item x="181"/>
        <item x="161"/>
        <item x="212"/>
        <item x="189"/>
        <item x="250"/>
        <item x="64"/>
        <item x="56"/>
        <item x="57"/>
        <item x="269"/>
        <item x="296"/>
        <item x="102"/>
        <item x="270"/>
        <item x="216"/>
        <item x="276"/>
        <item x="258"/>
        <item x="40"/>
        <item x="245"/>
        <item x="116"/>
        <item x="34"/>
        <item x="209"/>
        <item x="11"/>
        <item x="274"/>
        <item x="284"/>
        <item x="8"/>
        <item x="26"/>
        <item x="19"/>
        <item x="120"/>
        <item x="97"/>
        <item x="133"/>
        <item x="261"/>
        <item x="47"/>
        <item x="23"/>
        <item x="184"/>
        <item x="268"/>
        <item x="28"/>
        <item x="180"/>
        <item x="1"/>
        <item x="117"/>
        <item x="227"/>
        <item x="106"/>
        <item x="98"/>
        <item x="71"/>
        <item x="30"/>
        <item x="37"/>
        <item x="225"/>
        <item x="279"/>
        <item x="22"/>
        <item x="246"/>
        <item x="15"/>
        <item x="247"/>
        <item x="206"/>
        <item x="139"/>
        <item x="66"/>
        <item x="49"/>
        <item x="128"/>
        <item x="100"/>
        <item x="217"/>
        <item x="140"/>
        <item x="202"/>
        <item x="273"/>
        <item x="127"/>
        <item x="194"/>
        <item x="191"/>
        <item x="110"/>
        <item x="291"/>
        <item x="36"/>
        <item x="208"/>
        <item x="119"/>
        <item x="164"/>
        <item x="3"/>
        <item x="31"/>
        <item x="142"/>
        <item x="6"/>
        <item x="73"/>
        <item x="24"/>
        <item x="175"/>
        <item x="143"/>
        <item x="229"/>
        <item x="222"/>
        <item x="118"/>
        <item x="249"/>
        <item x="62"/>
        <item x="292"/>
        <item x="27"/>
        <item x="242"/>
        <item x="63"/>
        <item x="278"/>
        <item x="149"/>
        <item x="211"/>
        <item x="286"/>
        <item x="94"/>
        <item x="165"/>
        <item x="174"/>
        <item x="262"/>
        <item x="293"/>
        <item x="287"/>
        <item x="17"/>
        <item x="147"/>
        <item x="197"/>
        <item x="195"/>
        <item x="129"/>
        <item x="157"/>
        <item x="5"/>
        <item x="92"/>
        <item x="282"/>
        <item x="220"/>
        <item x="248"/>
        <item x="80"/>
        <item x="18"/>
        <item x="223"/>
        <item x="275"/>
        <item x="244"/>
        <item x="41"/>
        <item x="280"/>
        <item x="235"/>
        <item x="162"/>
        <item x="198"/>
        <item x="25"/>
        <item x="183"/>
        <item x="271"/>
        <item x="154"/>
        <item x="238"/>
        <item x="76"/>
        <item x="251"/>
        <item x="158"/>
        <item x="155"/>
        <item x="13"/>
        <item x="67"/>
        <item x="153"/>
        <item x="228"/>
        <item x="91"/>
        <item x="187"/>
        <item x="256"/>
        <item x="166"/>
        <item x="93"/>
        <item x="231"/>
        <item x="105"/>
        <item x="9"/>
        <item x="185"/>
        <item x="232"/>
        <item x="277"/>
        <item x="230"/>
        <item x="107"/>
        <item x="172"/>
        <item x="173"/>
        <item x="283"/>
        <item x="86"/>
        <item x="33"/>
        <item x="255"/>
        <item x="168"/>
        <item x="237"/>
        <item x="199"/>
        <item x="108"/>
        <item x="21"/>
        <item x="88"/>
        <item x="132"/>
        <item x="186"/>
        <item x="95"/>
        <item x="210"/>
        <item x="241"/>
        <item x="130"/>
        <item x="58"/>
        <item x="53"/>
        <item x="89"/>
        <item x="145"/>
        <item x="84"/>
        <item x="239"/>
        <item x="123"/>
        <item x="215"/>
        <item x="218"/>
        <item x="263"/>
        <item x="55"/>
        <item x="72"/>
        <item x="178"/>
        <item x="38"/>
        <item x="82"/>
        <item x="70"/>
        <item x="111"/>
        <item x="60"/>
        <item x="65"/>
        <item x="35"/>
        <item x="148"/>
        <item x="254"/>
        <item x="121"/>
        <item x="69"/>
        <item x="99"/>
        <item x="219"/>
        <item x="126"/>
        <item x="267"/>
        <item x="252"/>
        <item x="78"/>
        <item x="200"/>
        <item x="135"/>
        <item x="4"/>
        <item x="7"/>
        <item x="90"/>
        <item x="12"/>
        <item x="81"/>
        <item x="266"/>
        <item x="83"/>
        <item x="124"/>
        <item x="87"/>
        <item x="234"/>
        <item x="226"/>
        <item x="74"/>
        <item x="196"/>
        <item x="115"/>
        <item x="265"/>
        <item x="177"/>
        <item x="240"/>
        <item x="151"/>
        <item x="45"/>
        <item x="113"/>
        <item x="146"/>
        <item x="259"/>
        <item x="213"/>
        <item x="159"/>
        <item x="85"/>
        <item x="16"/>
        <item x="204"/>
        <item x="156"/>
        <item x="20"/>
        <item x="52"/>
        <item x="136"/>
        <item x="44"/>
        <item x="79"/>
        <item x="141"/>
        <item x="68"/>
        <item x="182"/>
        <item x="170"/>
        <item x="264"/>
        <item x="10"/>
        <item x="272"/>
        <item x="179"/>
        <item x="233"/>
        <item x="285"/>
        <item x="260"/>
        <item x="169"/>
        <item x="224"/>
        <item x="188"/>
        <item x="96"/>
        <item x="193"/>
        <item x="214"/>
        <item x="243"/>
        <item x="101"/>
        <item x="114"/>
        <item x="236"/>
        <item x="54"/>
        <item x="137"/>
        <item x="144"/>
        <item x="203"/>
        <item x="150"/>
        <item x="50"/>
        <item x="103"/>
        <item x="281"/>
        <item x="112"/>
        <item x="253"/>
        <item x="131"/>
        <item x="125"/>
        <item x="14"/>
        <item x="207"/>
        <item x="152"/>
        <item x="122"/>
        <item x="205"/>
        <item x="51"/>
        <item x="0"/>
        <item x="39"/>
        <item x="134"/>
        <item x="29"/>
        <item x="160"/>
        <item x="138"/>
        <item x="61"/>
        <item x="290"/>
        <item x="104"/>
        <item x="288"/>
        <item x="294"/>
        <item x="32"/>
        <item x="42"/>
        <item x="176"/>
        <item x="77"/>
        <item x="46"/>
        <item x="75"/>
        <item x="192"/>
        <item x="190"/>
        <item x="59"/>
        <item x="297"/>
        <item x="48"/>
        <item x="109"/>
        <item x="43"/>
        <item x="221"/>
        <item x="201"/>
        <item x="2"/>
        <item x="163"/>
        <item x="295"/>
        <item x="171"/>
        <item x="289"/>
        <item x="257"/>
        <item t="default"/>
      </items>
    </pivotField>
    <pivotField compact="0" outline="0" showAll="0">
      <items count="5">
        <item h="1" x="1"/>
        <item x="3"/>
        <item h="1" x="0"/>
        <item h="1" x="2"/>
        <item t="default"/>
      </items>
    </pivotField>
    <pivotField compact="0" outline="0" showAll="0"/>
    <pivotField axis="axisRow" compact="0" outline="0" showAll="0">
      <items count="4">
        <item x="1"/>
        <item x="0"/>
        <item x="2"/>
        <item t="default"/>
      </items>
    </pivotField>
    <pivotField compact="0" outline="0" showAll="0">
      <items count="4">
        <item x="0"/>
        <item x="2"/>
        <item x="1"/>
        <item t="default"/>
      </items>
    </pivotField>
    <pivotField compact="0" outline="0" showAll="0">
      <items count="4">
        <item x="1"/>
        <item x="0"/>
        <item x="2"/>
        <item t="default"/>
      </items>
    </pivotField>
    <pivotField compact="0" outline="0" showAll="0"/>
    <pivotField compact="0" numFmtId="1" outline="0" showAll="0"/>
    <pivotField compact="0" numFmtId="165" outline="0" showAll="0"/>
    <pivotField dataField="1" compact="0" numFmtId="165" outline="0" showAll="0"/>
    <pivotField compact="0" numFmtId="165" outline="0" showAll="0"/>
    <pivotField compact="0" numFmtId="165" outline="0" showAll="0"/>
    <pivotField compact="0" numFmtId="165" outline="0" showAll="0"/>
    <pivotField compact="0" numFmtId="166" outline="0" showAll="0"/>
    <pivotField compact="0" numFmtId="165" outline="0" showAll="0"/>
    <pivotField compact="0" outline="0" showAll="0" defaultSubtotal="0"/>
    <pivotField compact="0" outline="0" showAll="0" defaultSubtotal="0">
      <items count="4">
        <item x="0"/>
        <item x="1"/>
        <item x="2"/>
        <item x="3"/>
      </items>
    </pivotField>
  </pivotFields>
  <rowFields count="1">
    <field x="4"/>
  </rowFields>
  <rowItems count="4">
    <i>
      <x/>
    </i>
    <i>
      <x v="1"/>
    </i>
    <i>
      <x v="2"/>
    </i>
    <i t="grand">
      <x/>
    </i>
  </rowItems>
  <colItems count="1">
    <i/>
  </colItems>
  <dataFields count="1">
    <dataField name="Sum of Revenue" fld="10" baseField="0" baseItem="0" numFmtId="165"/>
  </dataFields>
  <chartFormats count="4">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4" count="1" selected="0">
            <x v="0"/>
          </reference>
        </references>
      </pivotArea>
    </chartFormat>
    <chartFormat chart="5" format="10">
      <pivotArea type="data" outline="0" fieldPosition="0">
        <references count="2">
          <reference field="4294967294" count="1" selected="0">
            <x v="0"/>
          </reference>
          <reference field="4" count="1" selected="0">
            <x v="1"/>
          </reference>
        </references>
      </pivotArea>
    </chartFormat>
    <chartFormat chart="5"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7ABD863-672E-430A-A2EE-C240ABB6E568}" sourceName="Region">
  <pivotTables>
    <pivotTable tabId="4" name="PivotTable1"/>
    <pivotTable tabId="9" name="PivotTable5"/>
    <pivotTable tabId="8" name="PivotTable4"/>
    <pivotTable tabId="5" name="PivotTable2"/>
    <pivotTable tabId="6" name="PivotTable3"/>
    <pivotTable tabId="10" name="PivotTable6"/>
  </pivotTables>
  <data>
    <tabular pivotCacheId="584685514">
      <items count="4">
        <i x="1"/>
        <i x="3" s="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C85815F0-510F-4071-A5B7-0DB72C816F03}" sourceName="Customer Segment">
  <pivotTables>
    <pivotTable tabId="4" name="PivotTable1"/>
    <pivotTable tabId="9" name="PivotTable5"/>
    <pivotTable tabId="8" name="PivotTable4"/>
    <pivotTable tabId="5" name="PivotTable2"/>
    <pivotTable tabId="6" name="PivotTable3"/>
    <pivotTable tabId="10" name="PivotTable6"/>
  </pivotTables>
  <data>
    <tabular pivotCacheId="584685514">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49B38AD-5DF3-4137-BD3D-048A608C7F32}" sourceName="Category">
  <pivotTables>
    <pivotTable tabId="4" name="PivotTable1"/>
    <pivotTable tabId="9" name="PivotTable5"/>
    <pivotTable tabId="8" name="PivotTable4"/>
    <pivotTable tabId="5" name="PivotTable2"/>
    <pivotTable tabId="6" name="PivotTable3"/>
    <pivotTable tabId="10" name="PivotTable6"/>
  </pivotTables>
  <data>
    <tabular pivotCacheId="584685514">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E95663EA-94A5-4342-A359-E131545D4B41}" sourceName="Sales Channel">
  <pivotTables>
    <pivotTable tabId="4" name="PivotTable1"/>
    <pivotTable tabId="9" name="PivotTable5"/>
    <pivotTable tabId="8" name="PivotTable4"/>
    <pivotTable tabId="5" name="PivotTable2"/>
    <pivotTable tabId="6" name="PivotTable3"/>
    <pivotTable tabId="10" name="PivotTable6"/>
  </pivotTables>
  <data>
    <tabular pivotCacheId="58468551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4D737C3-562B-443C-B002-1704360B3C68}" cache="Slicer_Region" caption="Region" style="SlicerStyleDark1" rowHeight="274320"/>
  <slicer name="Customer Segment" xr10:uid="{EE2CF007-DF34-40DB-A447-377E86120B53}" cache="Slicer_Customer_Segment" caption="Customer Segment" style="SlicerStyleDark1" rowHeight="274320"/>
  <slicer name="Category" xr10:uid="{5B75A580-3651-437A-B664-C103676D2BB6}" cache="Slicer_Category" caption="Category" style="SlicerStyleDark1" rowHeight="274320"/>
  <slicer name="Sales Channel" xr10:uid="{92D3AC88-0607-4A43-88CF-034536D23779}" cache="Slicer_Sales_Channel" caption="Sales Channel" style="SlicerStyleDark1"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Table" displayName="SalesDataTable" ref="A1:P601">
  <autoFilter ref="A1:P601" xr:uid="{00000000-000C-0000-FFFF-FFFF00000000}"/>
  <tableColumns count="16">
    <tableColumn id="1" xr3:uid="{00000000-0010-0000-0000-000001000000}" name="Order ID"/>
    <tableColumn id="2" xr3:uid="{00000000-0010-0000-0000-000002000000}" name="Order Date"/>
    <tableColumn id="3" xr3:uid="{00000000-0010-0000-0000-000003000000}" name="Region"/>
    <tableColumn id="4" xr3:uid="{00000000-0010-0000-0000-000004000000}" name="City"/>
    <tableColumn id="5" xr3:uid="{00000000-0010-0000-0000-000005000000}" name="Customer Segment"/>
    <tableColumn id="6" xr3:uid="{00000000-0010-0000-0000-000006000000}" name="Sales Channel"/>
    <tableColumn id="7" xr3:uid="{00000000-0010-0000-0000-000007000000}" name="Category"/>
    <tableColumn id="8" xr3:uid="{00000000-0010-0000-0000-000008000000}" name="Product"/>
    <tableColumn id="9" xr3:uid="{00000000-0010-0000-0000-000009000000}" name="Quantity"/>
    <tableColumn id="10" xr3:uid="{00000000-0010-0000-0000-00000A000000}" name="Unit Price"/>
    <tableColumn id="11" xr3:uid="{00000000-0010-0000-0000-00000B000000}" name="Revenue"/>
    <tableColumn id="12" xr3:uid="{00000000-0010-0000-0000-00000C000000}" name="Unit Cost"/>
    <tableColumn id="13" xr3:uid="{00000000-0010-0000-0000-00000D000000}" name="Total Cost"/>
    <tableColumn id="14" xr3:uid="{00000000-0010-0000-0000-00000E000000}" name="Profit"/>
    <tableColumn id="15" xr3:uid="{00000000-0010-0000-0000-00000F000000}" name="Profit Margin"/>
    <tableColumn id="16" xr3:uid="{00000000-0010-0000-0000-000010000000}" name="Monthly Targe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639E1-FDDF-4372-8739-EB518CF577EC}">
  <dimension ref="J5:N5"/>
  <sheetViews>
    <sheetView showGridLines="0" tabSelected="1" workbookViewId="0">
      <selection activeCell="O12" sqref="O12"/>
    </sheetView>
  </sheetViews>
  <sheetFormatPr defaultRowHeight="14"/>
  <sheetData>
    <row r="5" spans="10:14" ht="18.5">
      <c r="J5" s="11"/>
      <c r="K5" s="12"/>
      <c r="L5" s="13" t="s">
        <v>712</v>
      </c>
      <c r="M5" s="12"/>
      <c r="N5" s="12"/>
    </row>
  </sheetData>
  <phoneticPr fontId="4" type="noConversion"/>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01"/>
  <sheetViews>
    <sheetView workbookViewId="0"/>
  </sheetViews>
  <sheetFormatPr defaultRowHeight="14"/>
  <cols>
    <col min="1" max="1" width="13" customWidth="1"/>
    <col min="2" max="2" width="12" customWidth="1"/>
    <col min="3" max="3" width="11" customWidth="1"/>
    <col min="4" max="4" width="15" customWidth="1"/>
    <col min="5" max="5" width="18" customWidth="1"/>
    <col min="6" max="6" width="20" customWidth="1"/>
    <col min="7" max="7" width="18" customWidth="1"/>
    <col min="8" max="8" width="20" customWidth="1"/>
    <col min="9" max="9" width="10" customWidth="1"/>
    <col min="10" max="16" width="14" customWidth="1"/>
  </cols>
  <sheetData>
    <row r="1" spans="1:16" ht="16"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s="2">
        <v>45985</v>
      </c>
      <c r="C2" t="s">
        <v>17</v>
      </c>
      <c r="D2" t="s">
        <v>18</v>
      </c>
      <c r="E2" t="s">
        <v>19</v>
      </c>
      <c r="F2" t="s">
        <v>20</v>
      </c>
      <c r="G2" t="s">
        <v>21</v>
      </c>
      <c r="H2" t="s">
        <v>22</v>
      </c>
      <c r="I2" s="5">
        <v>2</v>
      </c>
      <c r="J2" s="3">
        <v>29.37</v>
      </c>
      <c r="K2" s="3">
        <v>58.74</v>
      </c>
      <c r="L2" s="3">
        <v>15.74</v>
      </c>
      <c r="M2" s="3">
        <v>31.48</v>
      </c>
      <c r="N2" s="3">
        <v>27.26</v>
      </c>
      <c r="O2" s="4">
        <v>0.46407899216887982</v>
      </c>
      <c r="P2" s="3">
        <v>140000</v>
      </c>
    </row>
    <row r="3" spans="1:16">
      <c r="A3" t="s">
        <v>23</v>
      </c>
      <c r="B3" s="2">
        <v>45702</v>
      </c>
      <c r="C3" t="s">
        <v>24</v>
      </c>
      <c r="D3" t="s">
        <v>25</v>
      </c>
      <c r="E3" t="s">
        <v>26</v>
      </c>
      <c r="F3" t="s">
        <v>20</v>
      </c>
      <c r="G3" t="s">
        <v>27</v>
      </c>
      <c r="H3" t="s">
        <v>28</v>
      </c>
      <c r="I3" s="5">
        <v>1</v>
      </c>
      <c r="J3" s="3">
        <v>184.23</v>
      </c>
      <c r="K3" s="3">
        <v>184.23</v>
      </c>
      <c r="L3" s="3">
        <v>118.63</v>
      </c>
      <c r="M3" s="3">
        <v>118.63</v>
      </c>
      <c r="N3" s="3">
        <v>65.599999999999994</v>
      </c>
      <c r="O3" s="4">
        <v>0.35607664332627692</v>
      </c>
      <c r="P3" s="3">
        <v>135000</v>
      </c>
    </row>
    <row r="4" spans="1:16">
      <c r="A4" t="s">
        <v>29</v>
      </c>
      <c r="B4" s="2">
        <v>46017</v>
      </c>
      <c r="C4" t="s">
        <v>24</v>
      </c>
      <c r="D4" t="s">
        <v>30</v>
      </c>
      <c r="E4" t="s">
        <v>26</v>
      </c>
      <c r="F4" t="s">
        <v>20</v>
      </c>
      <c r="G4" t="s">
        <v>21</v>
      </c>
      <c r="H4" t="s">
        <v>31</v>
      </c>
      <c r="I4" s="5">
        <v>3</v>
      </c>
      <c r="J4" s="3">
        <v>12.64</v>
      </c>
      <c r="K4" s="3">
        <v>37.92</v>
      </c>
      <c r="L4" s="3">
        <v>5.96</v>
      </c>
      <c r="M4" s="3">
        <v>17.88</v>
      </c>
      <c r="N4" s="3">
        <v>20.04</v>
      </c>
      <c r="O4" s="4">
        <v>0.52848101265822778</v>
      </c>
      <c r="P4" s="3">
        <v>135000</v>
      </c>
    </row>
    <row r="5" spans="1:16">
      <c r="A5" t="s">
        <v>32</v>
      </c>
      <c r="B5" s="2">
        <v>45737</v>
      </c>
      <c r="C5" t="s">
        <v>33</v>
      </c>
      <c r="D5" t="s">
        <v>34</v>
      </c>
      <c r="E5" t="s">
        <v>26</v>
      </c>
      <c r="F5" t="s">
        <v>20</v>
      </c>
      <c r="G5" t="s">
        <v>35</v>
      </c>
      <c r="H5" t="s">
        <v>36</v>
      </c>
      <c r="I5" s="5">
        <v>6</v>
      </c>
      <c r="J5" s="3">
        <v>36.15</v>
      </c>
      <c r="K5" s="3">
        <v>216.9</v>
      </c>
      <c r="L5" s="3">
        <v>18.73</v>
      </c>
      <c r="M5" s="3">
        <v>112.38</v>
      </c>
      <c r="N5" s="3">
        <v>104.52</v>
      </c>
      <c r="O5" s="4">
        <v>0.48188105117565694</v>
      </c>
      <c r="P5" s="3">
        <v>155000</v>
      </c>
    </row>
    <row r="6" spans="1:16">
      <c r="A6" t="s">
        <v>37</v>
      </c>
      <c r="B6" s="2">
        <v>45893</v>
      </c>
      <c r="C6" t="s">
        <v>17</v>
      </c>
      <c r="D6" t="s">
        <v>38</v>
      </c>
      <c r="E6" t="s">
        <v>26</v>
      </c>
      <c r="F6" t="s">
        <v>20</v>
      </c>
      <c r="G6" t="s">
        <v>35</v>
      </c>
      <c r="H6" t="s">
        <v>36</v>
      </c>
      <c r="I6" s="5">
        <v>4</v>
      </c>
      <c r="J6" s="3">
        <v>36.93</v>
      </c>
      <c r="K6" s="3">
        <v>147.72</v>
      </c>
      <c r="L6" s="3">
        <v>17.36</v>
      </c>
      <c r="M6" s="3">
        <v>69.44</v>
      </c>
      <c r="N6" s="3">
        <v>78.28</v>
      </c>
      <c r="O6" s="4">
        <v>0.52992147305713511</v>
      </c>
      <c r="P6" s="3">
        <v>140000</v>
      </c>
    </row>
    <row r="7" spans="1:16">
      <c r="A7" t="s">
        <v>39</v>
      </c>
      <c r="B7" s="2">
        <v>45774</v>
      </c>
      <c r="C7" t="s">
        <v>40</v>
      </c>
      <c r="D7" t="s">
        <v>41</v>
      </c>
      <c r="E7" t="s">
        <v>42</v>
      </c>
      <c r="F7" t="s">
        <v>43</v>
      </c>
      <c r="G7" t="s">
        <v>27</v>
      </c>
      <c r="H7" t="s">
        <v>44</v>
      </c>
      <c r="I7" s="5">
        <v>5</v>
      </c>
      <c r="J7" s="3">
        <v>319.92</v>
      </c>
      <c r="K7" s="3">
        <v>1599.6</v>
      </c>
      <c r="L7" s="3">
        <v>219.12</v>
      </c>
      <c r="M7" s="3">
        <v>1095.5999999999999</v>
      </c>
      <c r="N7" s="3">
        <v>504</v>
      </c>
      <c r="O7" s="4">
        <v>0.3150787696924231</v>
      </c>
      <c r="P7" s="3">
        <v>165000</v>
      </c>
    </row>
    <row r="8" spans="1:16">
      <c r="A8" t="s">
        <v>45</v>
      </c>
      <c r="B8" s="2">
        <v>45741</v>
      </c>
      <c r="C8" t="s">
        <v>40</v>
      </c>
      <c r="D8" t="s">
        <v>46</v>
      </c>
      <c r="E8" t="s">
        <v>26</v>
      </c>
      <c r="F8" t="s">
        <v>20</v>
      </c>
      <c r="G8" t="s">
        <v>21</v>
      </c>
      <c r="H8" t="s">
        <v>47</v>
      </c>
      <c r="I8" s="5">
        <v>3</v>
      </c>
      <c r="J8" s="3">
        <v>42.74</v>
      </c>
      <c r="K8" s="3">
        <v>128.22</v>
      </c>
      <c r="L8" s="3">
        <v>23.63</v>
      </c>
      <c r="M8" s="3">
        <v>70.89</v>
      </c>
      <c r="N8" s="3">
        <v>57.33</v>
      </c>
      <c r="O8" s="4">
        <v>0.4471221338324754</v>
      </c>
      <c r="P8" s="3">
        <v>165000</v>
      </c>
    </row>
    <row r="9" spans="1:16">
      <c r="A9" t="s">
        <v>48</v>
      </c>
      <c r="B9" s="2">
        <v>45894</v>
      </c>
      <c r="C9" t="s">
        <v>24</v>
      </c>
      <c r="D9" t="s">
        <v>49</v>
      </c>
      <c r="E9" t="s">
        <v>42</v>
      </c>
      <c r="F9" t="s">
        <v>50</v>
      </c>
      <c r="G9" t="s">
        <v>27</v>
      </c>
      <c r="H9" t="s">
        <v>28</v>
      </c>
      <c r="I9" s="5">
        <v>4</v>
      </c>
      <c r="J9" s="3">
        <v>189.11</v>
      </c>
      <c r="K9" s="3">
        <v>756.44</v>
      </c>
      <c r="L9" s="3">
        <v>120.09</v>
      </c>
      <c r="M9" s="3">
        <v>480.36</v>
      </c>
      <c r="N9" s="3">
        <v>276.08</v>
      </c>
      <c r="O9" s="4">
        <v>0.36497276717254501</v>
      </c>
      <c r="P9" s="3">
        <v>135000</v>
      </c>
    </row>
    <row r="10" spans="1:16">
      <c r="A10" t="s">
        <v>51</v>
      </c>
      <c r="B10" s="2">
        <v>45686</v>
      </c>
      <c r="C10" t="s">
        <v>33</v>
      </c>
      <c r="D10" t="s">
        <v>52</v>
      </c>
      <c r="E10" t="s">
        <v>42</v>
      </c>
      <c r="F10" t="s">
        <v>20</v>
      </c>
      <c r="G10" t="s">
        <v>21</v>
      </c>
      <c r="H10" t="s">
        <v>47</v>
      </c>
      <c r="I10" s="5">
        <v>4</v>
      </c>
      <c r="J10" s="3">
        <v>46.24</v>
      </c>
      <c r="K10" s="3">
        <v>184.96</v>
      </c>
      <c r="L10" s="3">
        <v>24.4</v>
      </c>
      <c r="M10" s="3">
        <v>97.6</v>
      </c>
      <c r="N10" s="3">
        <v>87.36</v>
      </c>
      <c r="O10" s="4">
        <v>0.47231833910034599</v>
      </c>
      <c r="P10" s="3">
        <v>155000</v>
      </c>
    </row>
    <row r="11" spans="1:16">
      <c r="A11" t="s">
        <v>53</v>
      </c>
      <c r="B11" s="2">
        <v>45819</v>
      </c>
      <c r="C11" t="s">
        <v>33</v>
      </c>
      <c r="D11" t="s">
        <v>54</v>
      </c>
      <c r="E11" t="s">
        <v>26</v>
      </c>
      <c r="F11" t="s">
        <v>43</v>
      </c>
      <c r="G11" t="s">
        <v>27</v>
      </c>
      <c r="H11" t="s">
        <v>55</v>
      </c>
      <c r="I11" s="5">
        <v>3</v>
      </c>
      <c r="J11" s="3">
        <v>594.13</v>
      </c>
      <c r="K11" s="3">
        <v>1782.39</v>
      </c>
      <c r="L11" s="3">
        <v>423.4</v>
      </c>
      <c r="M11" s="3">
        <v>1270.2</v>
      </c>
      <c r="N11" s="3">
        <v>512.19000000000005</v>
      </c>
      <c r="O11" s="4">
        <v>0.28736135189268341</v>
      </c>
      <c r="P11" s="3">
        <v>155000</v>
      </c>
    </row>
    <row r="12" spans="1:16">
      <c r="A12" t="s">
        <v>56</v>
      </c>
      <c r="B12" s="2">
        <v>45945</v>
      </c>
      <c r="C12" t="s">
        <v>40</v>
      </c>
      <c r="D12" t="s">
        <v>57</v>
      </c>
      <c r="E12" t="s">
        <v>42</v>
      </c>
      <c r="F12" t="s">
        <v>20</v>
      </c>
      <c r="G12" t="s">
        <v>35</v>
      </c>
      <c r="H12" t="s">
        <v>58</v>
      </c>
      <c r="I12" s="5">
        <v>3</v>
      </c>
      <c r="J12" s="3">
        <v>961.49</v>
      </c>
      <c r="K12" s="3">
        <v>2884.47</v>
      </c>
      <c r="L12" s="3">
        <v>697.75</v>
      </c>
      <c r="M12" s="3">
        <v>2093.25</v>
      </c>
      <c r="N12" s="3">
        <v>791.22</v>
      </c>
      <c r="O12" s="4">
        <v>0.27430342489261461</v>
      </c>
      <c r="P12" s="3">
        <v>165000</v>
      </c>
    </row>
    <row r="13" spans="1:16">
      <c r="A13" t="s">
        <v>59</v>
      </c>
      <c r="B13" s="2">
        <v>45682</v>
      </c>
      <c r="C13" t="s">
        <v>17</v>
      </c>
      <c r="D13" t="s">
        <v>60</v>
      </c>
      <c r="E13" t="s">
        <v>19</v>
      </c>
      <c r="F13" t="s">
        <v>50</v>
      </c>
      <c r="G13" t="s">
        <v>27</v>
      </c>
      <c r="H13" t="s">
        <v>44</v>
      </c>
      <c r="I13" s="5">
        <v>2</v>
      </c>
      <c r="J13" s="3">
        <v>315.08999999999997</v>
      </c>
      <c r="K13" s="3">
        <v>630.17999999999995</v>
      </c>
      <c r="L13" s="3">
        <v>214.11</v>
      </c>
      <c r="M13" s="3">
        <v>428.22</v>
      </c>
      <c r="N13" s="3">
        <v>201.96</v>
      </c>
      <c r="O13" s="4">
        <v>0.32047986289631536</v>
      </c>
      <c r="P13" s="3">
        <v>140000</v>
      </c>
    </row>
    <row r="14" spans="1:16">
      <c r="A14" t="s">
        <v>61</v>
      </c>
      <c r="B14" s="2">
        <v>45897</v>
      </c>
      <c r="C14" t="s">
        <v>40</v>
      </c>
      <c r="D14" t="s">
        <v>41</v>
      </c>
      <c r="E14" t="s">
        <v>19</v>
      </c>
      <c r="F14" t="s">
        <v>20</v>
      </c>
      <c r="G14" t="s">
        <v>27</v>
      </c>
      <c r="H14" t="s">
        <v>28</v>
      </c>
      <c r="I14" s="5">
        <v>5</v>
      </c>
      <c r="J14" s="3">
        <v>192.44</v>
      </c>
      <c r="K14" s="3">
        <v>962.2</v>
      </c>
      <c r="L14" s="3">
        <v>114.31</v>
      </c>
      <c r="M14" s="3">
        <v>571.54999999999995</v>
      </c>
      <c r="N14" s="3">
        <v>390.65</v>
      </c>
      <c r="O14" s="4">
        <v>0.40599667428808978</v>
      </c>
      <c r="P14" s="3">
        <v>165000</v>
      </c>
    </row>
    <row r="15" spans="1:16">
      <c r="A15" t="s">
        <v>62</v>
      </c>
      <c r="B15" s="2">
        <v>45808</v>
      </c>
      <c r="C15" t="s">
        <v>24</v>
      </c>
      <c r="D15" t="s">
        <v>30</v>
      </c>
      <c r="E15" t="s">
        <v>19</v>
      </c>
      <c r="F15" t="s">
        <v>43</v>
      </c>
      <c r="G15" t="s">
        <v>35</v>
      </c>
      <c r="H15" t="s">
        <v>63</v>
      </c>
      <c r="I15" s="5">
        <v>3</v>
      </c>
      <c r="J15" s="3">
        <v>263.04000000000002</v>
      </c>
      <c r="K15" s="3">
        <v>789.12</v>
      </c>
      <c r="L15" s="3">
        <v>174.72</v>
      </c>
      <c r="M15" s="3">
        <v>524.16</v>
      </c>
      <c r="N15" s="3">
        <v>264.95999999999998</v>
      </c>
      <c r="O15" s="4">
        <v>0.33576642335766421</v>
      </c>
      <c r="P15" s="3">
        <v>135000</v>
      </c>
    </row>
    <row r="16" spans="1:16">
      <c r="A16" t="s">
        <v>64</v>
      </c>
      <c r="B16" s="2">
        <v>45978</v>
      </c>
      <c r="C16" t="s">
        <v>40</v>
      </c>
      <c r="D16" t="s">
        <v>65</v>
      </c>
      <c r="E16" t="s">
        <v>26</v>
      </c>
      <c r="F16" t="s">
        <v>50</v>
      </c>
      <c r="G16" t="s">
        <v>27</v>
      </c>
      <c r="H16" t="s">
        <v>28</v>
      </c>
      <c r="I16" s="5">
        <v>1</v>
      </c>
      <c r="J16" s="3">
        <v>185.72</v>
      </c>
      <c r="K16" s="3">
        <v>185.72</v>
      </c>
      <c r="L16" s="3">
        <v>116.02</v>
      </c>
      <c r="M16" s="3">
        <v>116.02</v>
      </c>
      <c r="N16" s="3">
        <v>69.7</v>
      </c>
      <c r="O16" s="4">
        <v>0.37529614473400819</v>
      </c>
      <c r="P16" s="3">
        <v>165000</v>
      </c>
    </row>
    <row r="17" spans="1:16">
      <c r="A17" t="s">
        <v>66</v>
      </c>
      <c r="B17" s="2">
        <v>45715</v>
      </c>
      <c r="C17" t="s">
        <v>40</v>
      </c>
      <c r="D17" t="s">
        <v>46</v>
      </c>
      <c r="E17" t="s">
        <v>26</v>
      </c>
      <c r="F17" t="s">
        <v>20</v>
      </c>
      <c r="G17" t="s">
        <v>21</v>
      </c>
      <c r="H17" t="s">
        <v>47</v>
      </c>
      <c r="I17" s="5">
        <v>2</v>
      </c>
      <c r="J17" s="3">
        <v>44.56</v>
      </c>
      <c r="K17" s="3">
        <v>89.12</v>
      </c>
      <c r="L17" s="3">
        <v>25</v>
      </c>
      <c r="M17" s="3">
        <v>50</v>
      </c>
      <c r="N17" s="3">
        <v>39.119999999999997</v>
      </c>
      <c r="O17" s="4">
        <v>0.43895870736086173</v>
      </c>
      <c r="P17" s="3">
        <v>165000</v>
      </c>
    </row>
    <row r="18" spans="1:16">
      <c r="A18" t="s">
        <v>67</v>
      </c>
      <c r="B18" s="2">
        <v>45930</v>
      </c>
      <c r="C18" t="s">
        <v>33</v>
      </c>
      <c r="D18" t="s">
        <v>68</v>
      </c>
      <c r="E18" t="s">
        <v>19</v>
      </c>
      <c r="F18" t="s">
        <v>43</v>
      </c>
      <c r="G18" t="s">
        <v>21</v>
      </c>
      <c r="H18" t="s">
        <v>22</v>
      </c>
      <c r="I18" s="5">
        <v>5</v>
      </c>
      <c r="J18" s="3">
        <v>28.45</v>
      </c>
      <c r="K18" s="3">
        <v>142.25</v>
      </c>
      <c r="L18" s="3">
        <v>15.31</v>
      </c>
      <c r="M18" s="3">
        <v>76.55</v>
      </c>
      <c r="N18" s="3">
        <v>65.7</v>
      </c>
      <c r="O18" s="4">
        <v>0.46186291739894553</v>
      </c>
      <c r="P18" s="3">
        <v>155000</v>
      </c>
    </row>
    <row r="19" spans="1:16">
      <c r="A19" t="s">
        <v>69</v>
      </c>
      <c r="B19" s="2">
        <v>45766</v>
      </c>
      <c r="C19" t="s">
        <v>33</v>
      </c>
      <c r="D19" t="s">
        <v>34</v>
      </c>
      <c r="E19" t="s">
        <v>26</v>
      </c>
      <c r="F19" t="s">
        <v>50</v>
      </c>
      <c r="G19" t="s">
        <v>35</v>
      </c>
      <c r="H19" t="s">
        <v>36</v>
      </c>
      <c r="I19" s="5">
        <v>8</v>
      </c>
      <c r="J19" s="3">
        <v>38.43</v>
      </c>
      <c r="K19" s="3">
        <v>307.44</v>
      </c>
      <c r="L19" s="3">
        <v>18.09</v>
      </c>
      <c r="M19" s="3">
        <v>144.72</v>
      </c>
      <c r="N19" s="3">
        <v>162.72</v>
      </c>
      <c r="O19" s="4">
        <v>0.52927400468384078</v>
      </c>
      <c r="P19" s="3">
        <v>155000</v>
      </c>
    </row>
    <row r="20" spans="1:16">
      <c r="A20" t="s">
        <v>70</v>
      </c>
      <c r="B20" s="2">
        <v>45784</v>
      </c>
      <c r="C20" t="s">
        <v>33</v>
      </c>
      <c r="D20" t="s">
        <v>52</v>
      </c>
      <c r="E20" t="s">
        <v>26</v>
      </c>
      <c r="F20" t="s">
        <v>50</v>
      </c>
      <c r="G20" t="s">
        <v>35</v>
      </c>
      <c r="H20" t="s">
        <v>58</v>
      </c>
      <c r="I20" s="5">
        <v>4</v>
      </c>
      <c r="J20" s="3">
        <v>856.5</v>
      </c>
      <c r="K20" s="3">
        <v>3426</v>
      </c>
      <c r="L20" s="3">
        <v>742.16</v>
      </c>
      <c r="M20" s="3">
        <v>2968.64</v>
      </c>
      <c r="N20" s="3">
        <v>457.36</v>
      </c>
      <c r="O20" s="4">
        <v>0.13349678925861064</v>
      </c>
      <c r="P20" s="3">
        <v>155000</v>
      </c>
    </row>
    <row r="21" spans="1:16">
      <c r="A21" t="s">
        <v>71</v>
      </c>
      <c r="B21" s="2">
        <v>45688</v>
      </c>
      <c r="C21" t="s">
        <v>33</v>
      </c>
      <c r="D21" t="s">
        <v>52</v>
      </c>
      <c r="E21" t="s">
        <v>42</v>
      </c>
      <c r="F21" t="s">
        <v>43</v>
      </c>
      <c r="G21" t="s">
        <v>21</v>
      </c>
      <c r="H21" t="s">
        <v>47</v>
      </c>
      <c r="I21" s="5">
        <v>4</v>
      </c>
      <c r="J21" s="3">
        <v>40.369999999999997</v>
      </c>
      <c r="K21" s="3">
        <v>161.47999999999999</v>
      </c>
      <c r="L21" s="3">
        <v>24.2</v>
      </c>
      <c r="M21" s="3">
        <v>96.8</v>
      </c>
      <c r="N21" s="3">
        <v>64.680000000000007</v>
      </c>
      <c r="O21" s="4">
        <v>0.40054495912806548</v>
      </c>
      <c r="P21" s="3">
        <v>155000</v>
      </c>
    </row>
    <row r="22" spans="1:16">
      <c r="A22" t="s">
        <v>72</v>
      </c>
      <c r="B22" s="2">
        <v>45934</v>
      </c>
      <c r="C22" t="s">
        <v>33</v>
      </c>
      <c r="D22" t="s">
        <v>54</v>
      </c>
      <c r="E22" t="s">
        <v>26</v>
      </c>
      <c r="F22" t="s">
        <v>50</v>
      </c>
      <c r="G22" t="s">
        <v>27</v>
      </c>
      <c r="H22" t="s">
        <v>44</v>
      </c>
      <c r="I22" s="5">
        <v>4</v>
      </c>
      <c r="J22" s="3">
        <v>294.64</v>
      </c>
      <c r="K22" s="3">
        <v>1178.56</v>
      </c>
      <c r="L22" s="3">
        <v>215.44</v>
      </c>
      <c r="M22" s="3">
        <v>861.76</v>
      </c>
      <c r="N22" s="3">
        <v>316.8</v>
      </c>
      <c r="O22" s="4">
        <v>0.26880260657073041</v>
      </c>
      <c r="P22" s="3">
        <v>155000</v>
      </c>
    </row>
    <row r="23" spans="1:16">
      <c r="A23" t="s">
        <v>73</v>
      </c>
      <c r="B23" s="2">
        <v>45839</v>
      </c>
      <c r="C23" t="s">
        <v>24</v>
      </c>
      <c r="D23" t="s">
        <v>74</v>
      </c>
      <c r="E23" t="s">
        <v>19</v>
      </c>
      <c r="F23" t="s">
        <v>50</v>
      </c>
      <c r="G23" t="s">
        <v>21</v>
      </c>
      <c r="H23" t="s">
        <v>47</v>
      </c>
      <c r="I23" s="5">
        <v>1</v>
      </c>
      <c r="J23" s="3">
        <v>41.52</v>
      </c>
      <c r="K23" s="3">
        <v>41.52</v>
      </c>
      <c r="L23" s="3">
        <v>23.85</v>
      </c>
      <c r="M23" s="3">
        <v>23.85</v>
      </c>
      <c r="N23" s="3">
        <v>17.670000000000002</v>
      </c>
      <c r="O23" s="4">
        <v>0.42557803468208094</v>
      </c>
      <c r="P23" s="3">
        <v>135000</v>
      </c>
    </row>
    <row r="24" spans="1:16">
      <c r="A24" t="s">
        <v>75</v>
      </c>
      <c r="B24" s="2">
        <v>45713</v>
      </c>
      <c r="C24" t="s">
        <v>33</v>
      </c>
      <c r="D24" t="s">
        <v>68</v>
      </c>
      <c r="E24" t="s">
        <v>26</v>
      </c>
      <c r="F24" t="s">
        <v>20</v>
      </c>
      <c r="G24" t="s">
        <v>27</v>
      </c>
      <c r="H24" t="s">
        <v>44</v>
      </c>
      <c r="I24" s="5">
        <v>3</v>
      </c>
      <c r="J24" s="3">
        <v>307.61</v>
      </c>
      <c r="K24" s="3">
        <v>922.83</v>
      </c>
      <c r="L24" s="3">
        <v>206.85</v>
      </c>
      <c r="M24" s="3">
        <v>620.54999999999995</v>
      </c>
      <c r="N24" s="3">
        <v>302.27999999999997</v>
      </c>
      <c r="O24" s="4">
        <v>0.32755762166379504</v>
      </c>
      <c r="P24" s="3">
        <v>155000</v>
      </c>
    </row>
    <row r="25" spans="1:16">
      <c r="A25" t="s">
        <v>76</v>
      </c>
      <c r="B25" s="2">
        <v>45696</v>
      </c>
      <c r="C25" t="s">
        <v>24</v>
      </c>
      <c r="D25" t="s">
        <v>25</v>
      </c>
      <c r="E25" t="s">
        <v>26</v>
      </c>
      <c r="F25" t="s">
        <v>43</v>
      </c>
      <c r="G25" t="s">
        <v>21</v>
      </c>
      <c r="H25" t="s">
        <v>31</v>
      </c>
      <c r="I25" s="5">
        <v>2</v>
      </c>
      <c r="J25" s="3">
        <v>13.25</v>
      </c>
      <c r="K25" s="3">
        <v>26.5</v>
      </c>
      <c r="L25" s="3">
        <v>6.27</v>
      </c>
      <c r="M25" s="3">
        <v>12.54</v>
      </c>
      <c r="N25" s="3">
        <v>13.96</v>
      </c>
      <c r="O25" s="4">
        <v>0.52679245283018872</v>
      </c>
      <c r="P25" s="3">
        <v>135000</v>
      </c>
    </row>
    <row r="26" spans="1:16">
      <c r="A26" t="s">
        <v>77</v>
      </c>
      <c r="B26" s="2">
        <v>45743</v>
      </c>
      <c r="C26" t="s">
        <v>24</v>
      </c>
      <c r="D26" t="s">
        <v>74</v>
      </c>
      <c r="E26" t="s">
        <v>19</v>
      </c>
      <c r="F26" t="s">
        <v>43</v>
      </c>
      <c r="G26" t="s">
        <v>21</v>
      </c>
      <c r="H26" t="s">
        <v>31</v>
      </c>
      <c r="I26" s="5">
        <v>3</v>
      </c>
      <c r="J26" s="3">
        <v>11.8</v>
      </c>
      <c r="K26" s="3">
        <v>35.4</v>
      </c>
      <c r="L26" s="3">
        <v>6.35</v>
      </c>
      <c r="M26" s="3">
        <v>19.05</v>
      </c>
      <c r="N26" s="3">
        <v>16.350000000000001</v>
      </c>
      <c r="O26" s="4">
        <v>0.46186440677966106</v>
      </c>
      <c r="P26" s="3">
        <v>135000</v>
      </c>
    </row>
    <row r="27" spans="1:16">
      <c r="A27" t="s">
        <v>78</v>
      </c>
      <c r="B27" s="2">
        <v>45793</v>
      </c>
      <c r="C27" t="s">
        <v>24</v>
      </c>
      <c r="D27" t="s">
        <v>49</v>
      </c>
      <c r="E27" t="s">
        <v>26</v>
      </c>
      <c r="F27" t="s">
        <v>43</v>
      </c>
      <c r="G27" t="s">
        <v>27</v>
      </c>
      <c r="H27" t="s">
        <v>28</v>
      </c>
      <c r="I27" s="5">
        <v>8</v>
      </c>
      <c r="J27" s="3">
        <v>168.13</v>
      </c>
      <c r="K27" s="3">
        <v>1345.04</v>
      </c>
      <c r="L27" s="3">
        <v>113.81</v>
      </c>
      <c r="M27" s="3">
        <v>910.48</v>
      </c>
      <c r="N27" s="3">
        <v>434.56</v>
      </c>
      <c r="O27" s="4">
        <v>0.32308332837685128</v>
      </c>
      <c r="P27" s="3">
        <v>135000</v>
      </c>
    </row>
    <row r="28" spans="1:16">
      <c r="A28" t="s">
        <v>79</v>
      </c>
      <c r="B28" s="2">
        <v>45687</v>
      </c>
      <c r="C28" t="s">
        <v>17</v>
      </c>
      <c r="D28" t="s">
        <v>80</v>
      </c>
      <c r="E28" t="s">
        <v>26</v>
      </c>
      <c r="F28" t="s">
        <v>50</v>
      </c>
      <c r="G28" t="s">
        <v>27</v>
      </c>
      <c r="H28" t="s">
        <v>28</v>
      </c>
      <c r="I28" s="5">
        <v>3</v>
      </c>
      <c r="J28" s="3">
        <v>164.25</v>
      </c>
      <c r="K28" s="3">
        <v>492.75</v>
      </c>
      <c r="L28" s="3">
        <v>116.24</v>
      </c>
      <c r="M28" s="3">
        <v>348.72</v>
      </c>
      <c r="N28" s="3">
        <v>144.03</v>
      </c>
      <c r="O28" s="4">
        <v>0.29229832572298325</v>
      </c>
      <c r="P28" s="3">
        <v>140000</v>
      </c>
    </row>
    <row r="29" spans="1:16">
      <c r="A29" t="s">
        <v>81</v>
      </c>
      <c r="B29" s="2">
        <v>45753</v>
      </c>
      <c r="C29" t="s">
        <v>17</v>
      </c>
      <c r="D29" t="s">
        <v>18</v>
      </c>
      <c r="E29" t="s">
        <v>19</v>
      </c>
      <c r="F29" t="s">
        <v>20</v>
      </c>
      <c r="G29" t="s">
        <v>21</v>
      </c>
      <c r="H29" t="s">
        <v>47</v>
      </c>
      <c r="I29" s="5">
        <v>4</v>
      </c>
      <c r="J29" s="3">
        <v>43.15</v>
      </c>
      <c r="K29" s="3">
        <v>172.6</v>
      </c>
      <c r="L29" s="3">
        <v>23.14</v>
      </c>
      <c r="M29" s="3">
        <v>92.56</v>
      </c>
      <c r="N29" s="3">
        <v>80.040000000000006</v>
      </c>
      <c r="O29" s="4">
        <v>0.46373117033603711</v>
      </c>
      <c r="P29" s="3">
        <v>140000</v>
      </c>
    </row>
    <row r="30" spans="1:16">
      <c r="A30" t="s">
        <v>82</v>
      </c>
      <c r="B30" s="2">
        <v>45699</v>
      </c>
      <c r="C30" t="s">
        <v>24</v>
      </c>
      <c r="D30" t="s">
        <v>49</v>
      </c>
      <c r="E30" t="s">
        <v>42</v>
      </c>
      <c r="F30" t="s">
        <v>20</v>
      </c>
      <c r="G30" t="s">
        <v>35</v>
      </c>
      <c r="H30" t="s">
        <v>36</v>
      </c>
      <c r="I30" s="5">
        <v>4</v>
      </c>
      <c r="J30" s="3">
        <v>33.549999999999997</v>
      </c>
      <c r="K30" s="3">
        <v>134.19999999999999</v>
      </c>
      <c r="L30" s="3">
        <v>17.52</v>
      </c>
      <c r="M30" s="3">
        <v>70.08</v>
      </c>
      <c r="N30" s="3">
        <v>64.12</v>
      </c>
      <c r="O30" s="4">
        <v>0.4777943368107303</v>
      </c>
      <c r="P30" s="3">
        <v>135000</v>
      </c>
    </row>
    <row r="31" spans="1:16">
      <c r="A31" t="s">
        <v>83</v>
      </c>
      <c r="B31" s="2">
        <v>45988</v>
      </c>
      <c r="C31" t="s">
        <v>40</v>
      </c>
      <c r="D31" t="s">
        <v>57</v>
      </c>
      <c r="E31" t="s">
        <v>26</v>
      </c>
      <c r="F31" t="s">
        <v>50</v>
      </c>
      <c r="G31" t="s">
        <v>21</v>
      </c>
      <c r="H31" t="s">
        <v>47</v>
      </c>
      <c r="I31" s="5">
        <v>1</v>
      </c>
      <c r="J31" s="3">
        <v>42.03</v>
      </c>
      <c r="K31" s="3">
        <v>42.03</v>
      </c>
      <c r="L31" s="3">
        <v>25.44</v>
      </c>
      <c r="M31" s="3">
        <v>25.44</v>
      </c>
      <c r="N31" s="3">
        <v>16.59</v>
      </c>
      <c r="O31" s="4">
        <v>0.39471805852962166</v>
      </c>
      <c r="P31" s="3">
        <v>165000</v>
      </c>
    </row>
    <row r="32" spans="1:16">
      <c r="A32" t="s">
        <v>84</v>
      </c>
      <c r="B32" s="2">
        <v>45709</v>
      </c>
      <c r="C32" t="s">
        <v>17</v>
      </c>
      <c r="D32" t="s">
        <v>60</v>
      </c>
      <c r="E32" t="s">
        <v>19</v>
      </c>
      <c r="F32" t="s">
        <v>20</v>
      </c>
      <c r="G32" t="s">
        <v>35</v>
      </c>
      <c r="H32" t="s">
        <v>36</v>
      </c>
      <c r="I32" s="5">
        <v>2</v>
      </c>
      <c r="J32" s="3">
        <v>38.270000000000003</v>
      </c>
      <c r="K32" s="3">
        <v>76.540000000000006</v>
      </c>
      <c r="L32" s="3">
        <v>17.95</v>
      </c>
      <c r="M32" s="3">
        <v>35.9</v>
      </c>
      <c r="N32" s="3">
        <v>40.64</v>
      </c>
      <c r="O32" s="4">
        <v>0.53096420172458847</v>
      </c>
      <c r="P32" s="3">
        <v>140000</v>
      </c>
    </row>
    <row r="33" spans="1:16">
      <c r="A33" t="s">
        <v>85</v>
      </c>
      <c r="B33" s="2">
        <v>45738</v>
      </c>
      <c r="C33" t="s">
        <v>24</v>
      </c>
      <c r="D33" t="s">
        <v>49</v>
      </c>
      <c r="E33" t="s">
        <v>19</v>
      </c>
      <c r="F33" t="s">
        <v>43</v>
      </c>
      <c r="G33" t="s">
        <v>27</v>
      </c>
      <c r="H33" t="s">
        <v>28</v>
      </c>
      <c r="I33" s="5">
        <v>1</v>
      </c>
      <c r="J33" s="3">
        <v>188.45</v>
      </c>
      <c r="K33" s="3">
        <v>188.45</v>
      </c>
      <c r="L33" s="3">
        <v>116.78</v>
      </c>
      <c r="M33" s="3">
        <v>116.78</v>
      </c>
      <c r="N33" s="3">
        <v>71.67</v>
      </c>
      <c r="O33" s="4">
        <v>0.38031308039267714</v>
      </c>
      <c r="P33" s="3">
        <v>135000</v>
      </c>
    </row>
    <row r="34" spans="1:16">
      <c r="A34" t="s">
        <v>86</v>
      </c>
      <c r="B34" s="2">
        <v>45997</v>
      </c>
      <c r="C34" t="s">
        <v>17</v>
      </c>
      <c r="D34" t="s">
        <v>60</v>
      </c>
      <c r="E34" t="s">
        <v>26</v>
      </c>
      <c r="F34" t="s">
        <v>43</v>
      </c>
      <c r="G34" t="s">
        <v>27</v>
      </c>
      <c r="H34" t="s">
        <v>28</v>
      </c>
      <c r="I34" s="5">
        <v>3</v>
      </c>
      <c r="J34" s="3">
        <v>172.78</v>
      </c>
      <c r="K34" s="3">
        <v>518.34</v>
      </c>
      <c r="L34" s="3">
        <v>117.36</v>
      </c>
      <c r="M34" s="3">
        <v>352.08</v>
      </c>
      <c r="N34" s="3">
        <v>166.26</v>
      </c>
      <c r="O34" s="4">
        <v>0.32075471698113206</v>
      </c>
      <c r="P34" s="3">
        <v>140000</v>
      </c>
    </row>
    <row r="35" spans="1:16">
      <c r="A35" t="s">
        <v>87</v>
      </c>
      <c r="B35" s="2">
        <v>45833</v>
      </c>
      <c r="C35" t="s">
        <v>33</v>
      </c>
      <c r="D35" t="s">
        <v>34</v>
      </c>
      <c r="E35" t="s">
        <v>19</v>
      </c>
      <c r="F35" t="s">
        <v>20</v>
      </c>
      <c r="G35" t="s">
        <v>21</v>
      </c>
      <c r="H35" t="s">
        <v>31</v>
      </c>
      <c r="I35" s="5">
        <v>2</v>
      </c>
      <c r="J35" s="3">
        <v>12.47</v>
      </c>
      <c r="K35" s="3">
        <v>24.94</v>
      </c>
      <c r="L35" s="3">
        <v>6.26</v>
      </c>
      <c r="M35" s="3">
        <v>12.52</v>
      </c>
      <c r="N35" s="3">
        <v>12.42</v>
      </c>
      <c r="O35" s="4">
        <v>0.49799518845228546</v>
      </c>
      <c r="P35" s="3">
        <v>155000</v>
      </c>
    </row>
    <row r="36" spans="1:16">
      <c r="A36" t="s">
        <v>88</v>
      </c>
      <c r="B36" s="2">
        <v>45680</v>
      </c>
      <c r="C36" t="s">
        <v>17</v>
      </c>
      <c r="D36" t="s">
        <v>80</v>
      </c>
      <c r="E36" t="s">
        <v>42</v>
      </c>
      <c r="F36" t="s">
        <v>50</v>
      </c>
      <c r="G36" t="s">
        <v>35</v>
      </c>
      <c r="H36" t="s">
        <v>63</v>
      </c>
      <c r="I36" s="5">
        <v>3</v>
      </c>
      <c r="J36" s="3">
        <v>276.39999999999998</v>
      </c>
      <c r="K36" s="3">
        <v>829.2</v>
      </c>
      <c r="L36" s="3">
        <v>182.73</v>
      </c>
      <c r="M36" s="3">
        <v>548.19000000000005</v>
      </c>
      <c r="N36" s="3">
        <v>281.01</v>
      </c>
      <c r="O36" s="4">
        <v>0.33889290882778578</v>
      </c>
      <c r="P36" s="3">
        <v>140000</v>
      </c>
    </row>
    <row r="37" spans="1:16">
      <c r="A37" t="s">
        <v>89</v>
      </c>
      <c r="B37" s="2">
        <v>45876</v>
      </c>
      <c r="C37" t="s">
        <v>17</v>
      </c>
      <c r="D37" t="s">
        <v>18</v>
      </c>
      <c r="E37" t="s">
        <v>26</v>
      </c>
      <c r="F37" t="s">
        <v>43</v>
      </c>
      <c r="G37" t="s">
        <v>21</v>
      </c>
      <c r="H37" t="s">
        <v>22</v>
      </c>
      <c r="I37" s="5">
        <v>1</v>
      </c>
      <c r="J37" s="3">
        <v>30.34</v>
      </c>
      <c r="K37" s="3">
        <v>30.34</v>
      </c>
      <c r="L37" s="3">
        <v>15.27</v>
      </c>
      <c r="M37" s="3">
        <v>15.27</v>
      </c>
      <c r="N37" s="3">
        <v>15.07</v>
      </c>
      <c r="O37" s="4">
        <v>0.49670402109426504</v>
      </c>
      <c r="P37" s="3">
        <v>140000</v>
      </c>
    </row>
    <row r="38" spans="1:16">
      <c r="A38" t="s">
        <v>90</v>
      </c>
      <c r="B38" s="2">
        <v>45733</v>
      </c>
      <c r="C38" t="s">
        <v>24</v>
      </c>
      <c r="D38" t="s">
        <v>30</v>
      </c>
      <c r="E38" t="s">
        <v>26</v>
      </c>
      <c r="F38" t="s">
        <v>20</v>
      </c>
      <c r="G38" t="s">
        <v>21</v>
      </c>
      <c r="H38" t="s">
        <v>31</v>
      </c>
      <c r="I38" s="5">
        <v>6</v>
      </c>
      <c r="J38" s="3">
        <v>11.35</v>
      </c>
      <c r="K38" s="3">
        <v>68.099999999999994</v>
      </c>
      <c r="L38" s="3">
        <v>5.91</v>
      </c>
      <c r="M38" s="3">
        <v>35.46</v>
      </c>
      <c r="N38" s="3">
        <v>32.64</v>
      </c>
      <c r="O38" s="4">
        <v>0.47929515418502205</v>
      </c>
      <c r="P38" s="3">
        <v>135000</v>
      </c>
    </row>
    <row r="39" spans="1:16">
      <c r="A39" t="s">
        <v>91</v>
      </c>
      <c r="B39" s="2">
        <v>45710</v>
      </c>
      <c r="C39" t="s">
        <v>40</v>
      </c>
      <c r="D39" t="s">
        <v>57</v>
      </c>
      <c r="E39" t="s">
        <v>42</v>
      </c>
      <c r="F39" t="s">
        <v>50</v>
      </c>
      <c r="G39" t="s">
        <v>35</v>
      </c>
      <c r="H39" t="s">
        <v>58</v>
      </c>
      <c r="I39" s="5">
        <v>3</v>
      </c>
      <c r="J39" s="3">
        <v>1059.03</v>
      </c>
      <c r="K39" s="3">
        <v>3177.09</v>
      </c>
      <c r="L39" s="3">
        <v>749.58</v>
      </c>
      <c r="M39" s="3">
        <v>2248.7399999999998</v>
      </c>
      <c r="N39" s="3">
        <v>928.35</v>
      </c>
      <c r="O39" s="4">
        <v>0.29220135406928982</v>
      </c>
      <c r="P39" s="3">
        <v>165000</v>
      </c>
    </row>
    <row r="40" spans="1:16">
      <c r="A40" t="s">
        <v>92</v>
      </c>
      <c r="B40" s="2">
        <v>45869</v>
      </c>
      <c r="C40" t="s">
        <v>17</v>
      </c>
      <c r="D40" t="s">
        <v>60</v>
      </c>
      <c r="E40" t="s">
        <v>19</v>
      </c>
      <c r="F40" t="s">
        <v>20</v>
      </c>
      <c r="G40" t="s">
        <v>27</v>
      </c>
      <c r="H40" t="s">
        <v>44</v>
      </c>
      <c r="I40" s="5">
        <v>4</v>
      </c>
      <c r="J40" s="3">
        <v>306.77999999999997</v>
      </c>
      <c r="K40" s="3">
        <v>1227.1199999999999</v>
      </c>
      <c r="L40" s="3">
        <v>218.13</v>
      </c>
      <c r="M40" s="3">
        <v>872.52</v>
      </c>
      <c r="N40" s="3">
        <v>354.6</v>
      </c>
      <c r="O40" s="4">
        <v>0.28896929395658133</v>
      </c>
      <c r="P40" s="3">
        <v>140000</v>
      </c>
    </row>
    <row r="41" spans="1:16">
      <c r="A41" t="s">
        <v>93</v>
      </c>
      <c r="B41" s="2">
        <v>45713</v>
      </c>
      <c r="C41" t="s">
        <v>24</v>
      </c>
      <c r="D41" t="s">
        <v>25</v>
      </c>
      <c r="E41" t="s">
        <v>42</v>
      </c>
      <c r="F41" t="s">
        <v>20</v>
      </c>
      <c r="G41" t="s">
        <v>27</v>
      </c>
      <c r="H41" t="s">
        <v>55</v>
      </c>
      <c r="I41" s="5">
        <v>6</v>
      </c>
      <c r="J41" s="3">
        <v>599.63</v>
      </c>
      <c r="K41" s="3">
        <v>3597.78</v>
      </c>
      <c r="L41" s="3">
        <v>447</v>
      </c>
      <c r="M41" s="3">
        <v>2682</v>
      </c>
      <c r="N41" s="3">
        <v>915.78</v>
      </c>
      <c r="O41" s="4">
        <v>0.25454029985157511</v>
      </c>
      <c r="P41" s="3">
        <v>135000</v>
      </c>
    </row>
    <row r="42" spans="1:16">
      <c r="A42" t="s">
        <v>94</v>
      </c>
      <c r="B42" s="2">
        <v>45774</v>
      </c>
      <c r="C42" t="s">
        <v>33</v>
      </c>
      <c r="D42" t="s">
        <v>52</v>
      </c>
      <c r="E42" t="s">
        <v>19</v>
      </c>
      <c r="F42" t="s">
        <v>20</v>
      </c>
      <c r="G42" t="s">
        <v>35</v>
      </c>
      <c r="H42" t="s">
        <v>63</v>
      </c>
      <c r="I42" s="5">
        <v>2</v>
      </c>
      <c r="J42" s="3">
        <v>289.31</v>
      </c>
      <c r="K42" s="3">
        <v>578.62</v>
      </c>
      <c r="L42" s="3">
        <v>177.82</v>
      </c>
      <c r="M42" s="3">
        <v>355.64</v>
      </c>
      <c r="N42" s="3">
        <v>222.98</v>
      </c>
      <c r="O42" s="4">
        <v>0.38536517921952229</v>
      </c>
      <c r="P42" s="3">
        <v>155000</v>
      </c>
    </row>
    <row r="43" spans="1:16">
      <c r="A43" t="s">
        <v>95</v>
      </c>
      <c r="B43" s="2">
        <v>45986</v>
      </c>
      <c r="C43" t="s">
        <v>24</v>
      </c>
      <c r="D43" t="s">
        <v>49</v>
      </c>
      <c r="E43" t="s">
        <v>42</v>
      </c>
      <c r="F43" t="s">
        <v>20</v>
      </c>
      <c r="G43" t="s">
        <v>35</v>
      </c>
      <c r="H43" t="s">
        <v>63</v>
      </c>
      <c r="I43" s="5">
        <v>3</v>
      </c>
      <c r="J43" s="3">
        <v>267.20999999999998</v>
      </c>
      <c r="K43" s="3">
        <v>801.63</v>
      </c>
      <c r="L43" s="3">
        <v>190.5</v>
      </c>
      <c r="M43" s="3">
        <v>571.5</v>
      </c>
      <c r="N43" s="3">
        <v>230.13</v>
      </c>
      <c r="O43" s="4">
        <v>0.28707757943190748</v>
      </c>
      <c r="P43" s="3">
        <v>135000</v>
      </c>
    </row>
    <row r="44" spans="1:16">
      <c r="A44" t="s">
        <v>96</v>
      </c>
      <c r="B44" s="2">
        <v>45677</v>
      </c>
      <c r="C44" t="s">
        <v>17</v>
      </c>
      <c r="D44" t="s">
        <v>38</v>
      </c>
      <c r="E44" t="s">
        <v>26</v>
      </c>
      <c r="F44" t="s">
        <v>50</v>
      </c>
      <c r="G44" t="s">
        <v>27</v>
      </c>
      <c r="H44" t="s">
        <v>44</v>
      </c>
      <c r="I44" s="5">
        <v>2</v>
      </c>
      <c r="J44" s="3">
        <v>315.12</v>
      </c>
      <c r="K44" s="3">
        <v>630.24</v>
      </c>
      <c r="L44" s="3">
        <v>213.71</v>
      </c>
      <c r="M44" s="3">
        <v>427.42</v>
      </c>
      <c r="N44" s="3">
        <v>202.82</v>
      </c>
      <c r="O44" s="4">
        <v>0.3218139121604468</v>
      </c>
      <c r="P44" s="3">
        <v>140000</v>
      </c>
    </row>
    <row r="45" spans="1:16">
      <c r="A45" t="s">
        <v>97</v>
      </c>
      <c r="B45" s="2">
        <v>45788</v>
      </c>
      <c r="C45" t="s">
        <v>17</v>
      </c>
      <c r="D45" t="s">
        <v>38</v>
      </c>
      <c r="E45" t="s">
        <v>26</v>
      </c>
      <c r="F45" t="s">
        <v>43</v>
      </c>
      <c r="G45" t="s">
        <v>27</v>
      </c>
      <c r="H45" t="s">
        <v>28</v>
      </c>
      <c r="I45" s="5">
        <v>4</v>
      </c>
      <c r="J45" s="3">
        <v>176.42</v>
      </c>
      <c r="K45" s="3">
        <v>705.68</v>
      </c>
      <c r="L45" s="3">
        <v>111.2</v>
      </c>
      <c r="M45" s="3">
        <v>444.8</v>
      </c>
      <c r="N45" s="3">
        <v>260.88</v>
      </c>
      <c r="O45" s="4">
        <v>0.36968597664663871</v>
      </c>
      <c r="P45" s="3">
        <v>140000</v>
      </c>
    </row>
    <row r="46" spans="1:16">
      <c r="A46" t="s">
        <v>98</v>
      </c>
      <c r="B46" s="2">
        <v>45998</v>
      </c>
      <c r="C46" t="s">
        <v>40</v>
      </c>
      <c r="D46" t="s">
        <v>46</v>
      </c>
      <c r="E46" t="s">
        <v>19</v>
      </c>
      <c r="F46" t="s">
        <v>20</v>
      </c>
      <c r="G46" t="s">
        <v>35</v>
      </c>
      <c r="H46" t="s">
        <v>63</v>
      </c>
      <c r="I46" s="5">
        <v>5</v>
      </c>
      <c r="J46" s="3">
        <v>272.14999999999998</v>
      </c>
      <c r="K46" s="3">
        <v>1360.75</v>
      </c>
      <c r="L46" s="3">
        <v>178.67</v>
      </c>
      <c r="M46" s="3">
        <v>893.35</v>
      </c>
      <c r="N46" s="3">
        <v>467.4</v>
      </c>
      <c r="O46" s="4">
        <v>0.34348704758405291</v>
      </c>
      <c r="P46" s="3">
        <v>165000</v>
      </c>
    </row>
    <row r="47" spans="1:16">
      <c r="A47" t="s">
        <v>99</v>
      </c>
      <c r="B47" s="2">
        <v>46014</v>
      </c>
      <c r="C47" t="s">
        <v>40</v>
      </c>
      <c r="D47" t="s">
        <v>65</v>
      </c>
      <c r="E47" t="s">
        <v>26</v>
      </c>
      <c r="F47" t="s">
        <v>50</v>
      </c>
      <c r="G47" t="s">
        <v>27</v>
      </c>
      <c r="H47" t="s">
        <v>44</v>
      </c>
      <c r="I47" s="5">
        <v>3</v>
      </c>
      <c r="J47" s="3">
        <v>331.33</v>
      </c>
      <c r="K47" s="3">
        <v>993.99</v>
      </c>
      <c r="L47" s="3">
        <v>207.92</v>
      </c>
      <c r="M47" s="3">
        <v>623.76</v>
      </c>
      <c r="N47" s="3">
        <v>370.23</v>
      </c>
      <c r="O47" s="4">
        <v>0.37246853590076362</v>
      </c>
      <c r="P47" s="3">
        <v>165000</v>
      </c>
    </row>
    <row r="48" spans="1:16">
      <c r="A48" t="s">
        <v>100</v>
      </c>
      <c r="B48" s="2">
        <v>45938</v>
      </c>
      <c r="C48" t="s">
        <v>17</v>
      </c>
      <c r="D48" t="s">
        <v>80</v>
      </c>
      <c r="E48" t="s">
        <v>26</v>
      </c>
      <c r="F48" t="s">
        <v>20</v>
      </c>
      <c r="G48" t="s">
        <v>35</v>
      </c>
      <c r="H48" t="s">
        <v>36</v>
      </c>
      <c r="I48" s="5">
        <v>8</v>
      </c>
      <c r="J48" s="3">
        <v>34.9</v>
      </c>
      <c r="K48" s="3">
        <v>279.2</v>
      </c>
      <c r="L48" s="3">
        <v>18.5</v>
      </c>
      <c r="M48" s="3">
        <v>148</v>
      </c>
      <c r="N48" s="3">
        <v>131.19999999999999</v>
      </c>
      <c r="O48" s="4">
        <v>0.46991404011461319</v>
      </c>
      <c r="P48" s="3">
        <v>140000</v>
      </c>
    </row>
    <row r="49" spans="1:16">
      <c r="A49" t="s">
        <v>101</v>
      </c>
      <c r="B49" s="2">
        <v>45919</v>
      </c>
      <c r="C49" t="s">
        <v>24</v>
      </c>
      <c r="D49" t="s">
        <v>30</v>
      </c>
      <c r="E49" t="s">
        <v>19</v>
      </c>
      <c r="F49" t="s">
        <v>20</v>
      </c>
      <c r="G49" t="s">
        <v>35</v>
      </c>
      <c r="H49" t="s">
        <v>36</v>
      </c>
      <c r="I49" s="5">
        <v>2</v>
      </c>
      <c r="J49" s="3">
        <v>37.799999999999997</v>
      </c>
      <c r="K49" s="3">
        <v>75.599999999999994</v>
      </c>
      <c r="L49" s="3">
        <v>18.63</v>
      </c>
      <c r="M49" s="3">
        <v>37.26</v>
      </c>
      <c r="N49" s="3">
        <v>38.340000000000003</v>
      </c>
      <c r="O49" s="4">
        <v>0.50714285714285723</v>
      </c>
      <c r="P49" s="3">
        <v>135000</v>
      </c>
    </row>
    <row r="50" spans="1:16">
      <c r="A50" t="s">
        <v>102</v>
      </c>
      <c r="B50" s="2">
        <v>46002</v>
      </c>
      <c r="C50" t="s">
        <v>40</v>
      </c>
      <c r="D50" t="s">
        <v>65</v>
      </c>
      <c r="E50" t="s">
        <v>42</v>
      </c>
      <c r="F50" t="s">
        <v>20</v>
      </c>
      <c r="G50" t="s">
        <v>21</v>
      </c>
      <c r="H50" t="s">
        <v>31</v>
      </c>
      <c r="I50" s="5">
        <v>4</v>
      </c>
      <c r="J50" s="3">
        <v>13.4</v>
      </c>
      <c r="K50" s="3">
        <v>53.6</v>
      </c>
      <c r="L50" s="3">
        <v>6.13</v>
      </c>
      <c r="M50" s="3">
        <v>24.52</v>
      </c>
      <c r="N50" s="3">
        <v>29.08</v>
      </c>
      <c r="O50" s="4">
        <v>0.54253731343283573</v>
      </c>
      <c r="P50" s="3">
        <v>165000</v>
      </c>
    </row>
    <row r="51" spans="1:16">
      <c r="A51" t="s">
        <v>103</v>
      </c>
      <c r="B51" s="2">
        <v>45695</v>
      </c>
      <c r="C51" t="s">
        <v>24</v>
      </c>
      <c r="D51" t="s">
        <v>74</v>
      </c>
      <c r="E51" t="s">
        <v>42</v>
      </c>
      <c r="F51" t="s">
        <v>50</v>
      </c>
      <c r="G51" t="s">
        <v>27</v>
      </c>
      <c r="H51" t="s">
        <v>44</v>
      </c>
      <c r="I51" s="5">
        <v>8</v>
      </c>
      <c r="J51" s="3">
        <v>316.14</v>
      </c>
      <c r="K51" s="3">
        <v>2529.12</v>
      </c>
      <c r="L51" s="3">
        <v>204.7</v>
      </c>
      <c r="M51" s="3">
        <v>1637.6</v>
      </c>
      <c r="N51" s="3">
        <v>891.52</v>
      </c>
      <c r="O51" s="4">
        <v>0.35250205605111662</v>
      </c>
      <c r="P51" s="3">
        <v>135000</v>
      </c>
    </row>
    <row r="52" spans="1:16">
      <c r="A52" t="s">
        <v>104</v>
      </c>
      <c r="B52" s="2">
        <v>46010</v>
      </c>
      <c r="C52" t="s">
        <v>17</v>
      </c>
      <c r="D52" t="s">
        <v>18</v>
      </c>
      <c r="E52" t="s">
        <v>42</v>
      </c>
      <c r="F52" t="s">
        <v>20</v>
      </c>
      <c r="G52" t="s">
        <v>27</v>
      </c>
      <c r="H52" t="s">
        <v>28</v>
      </c>
      <c r="I52" s="5">
        <v>8</v>
      </c>
      <c r="J52" s="3">
        <v>163.99</v>
      </c>
      <c r="K52" s="3">
        <v>1311.92</v>
      </c>
      <c r="L52" s="3">
        <v>113.27</v>
      </c>
      <c r="M52" s="3">
        <v>906.16</v>
      </c>
      <c r="N52" s="3">
        <v>405.76</v>
      </c>
      <c r="O52" s="4">
        <v>0.30928715165558873</v>
      </c>
      <c r="P52" s="3">
        <v>140000</v>
      </c>
    </row>
    <row r="53" spans="1:16">
      <c r="A53" t="s">
        <v>105</v>
      </c>
      <c r="B53" s="2">
        <v>45720</v>
      </c>
      <c r="C53" t="s">
        <v>24</v>
      </c>
      <c r="D53" t="s">
        <v>30</v>
      </c>
      <c r="E53" t="s">
        <v>42</v>
      </c>
      <c r="F53" t="s">
        <v>50</v>
      </c>
      <c r="G53" t="s">
        <v>27</v>
      </c>
      <c r="H53" t="s">
        <v>28</v>
      </c>
      <c r="I53" s="5">
        <v>6</v>
      </c>
      <c r="J53" s="3">
        <v>199.62</v>
      </c>
      <c r="K53" s="3">
        <v>1197.72</v>
      </c>
      <c r="L53" s="3">
        <v>120.65</v>
      </c>
      <c r="M53" s="3">
        <v>723.9</v>
      </c>
      <c r="N53" s="3">
        <v>473.82</v>
      </c>
      <c r="O53" s="4">
        <v>0.39560164312193163</v>
      </c>
      <c r="P53" s="3">
        <v>135000</v>
      </c>
    </row>
    <row r="54" spans="1:16">
      <c r="A54" t="s">
        <v>106</v>
      </c>
      <c r="B54" s="2">
        <v>45971</v>
      </c>
      <c r="C54" t="s">
        <v>24</v>
      </c>
      <c r="D54" t="s">
        <v>74</v>
      </c>
      <c r="E54" t="s">
        <v>42</v>
      </c>
      <c r="F54" t="s">
        <v>50</v>
      </c>
      <c r="G54" t="s">
        <v>27</v>
      </c>
      <c r="H54" t="s">
        <v>55</v>
      </c>
      <c r="I54" s="5">
        <v>8</v>
      </c>
      <c r="J54" s="3">
        <v>593.35</v>
      </c>
      <c r="K54" s="3">
        <v>4746.8</v>
      </c>
      <c r="L54" s="3">
        <v>423.43</v>
      </c>
      <c r="M54" s="3">
        <v>3387.44</v>
      </c>
      <c r="N54" s="3">
        <v>1359.36</v>
      </c>
      <c r="O54" s="4">
        <v>0.28637397825903765</v>
      </c>
      <c r="P54" s="3">
        <v>135000</v>
      </c>
    </row>
    <row r="55" spans="1:16">
      <c r="A55" t="s">
        <v>107</v>
      </c>
      <c r="B55" s="2">
        <v>45984</v>
      </c>
      <c r="C55" t="s">
        <v>40</v>
      </c>
      <c r="D55" t="s">
        <v>57</v>
      </c>
      <c r="E55" t="s">
        <v>19</v>
      </c>
      <c r="F55" t="s">
        <v>20</v>
      </c>
      <c r="G55" t="s">
        <v>21</v>
      </c>
      <c r="H55" t="s">
        <v>47</v>
      </c>
      <c r="I55" s="5">
        <v>5</v>
      </c>
      <c r="J55" s="3">
        <v>39.97</v>
      </c>
      <c r="K55" s="3">
        <v>199.85</v>
      </c>
      <c r="L55" s="3">
        <v>23.85</v>
      </c>
      <c r="M55" s="3">
        <v>119.25</v>
      </c>
      <c r="N55" s="3">
        <v>80.599999999999994</v>
      </c>
      <c r="O55" s="4">
        <v>0.4033024768576432</v>
      </c>
      <c r="P55" s="3">
        <v>165000</v>
      </c>
    </row>
    <row r="56" spans="1:16">
      <c r="A56" t="s">
        <v>108</v>
      </c>
      <c r="B56" s="2">
        <v>45934</v>
      </c>
      <c r="C56" t="s">
        <v>17</v>
      </c>
      <c r="D56" t="s">
        <v>60</v>
      </c>
      <c r="E56" t="s">
        <v>26</v>
      </c>
      <c r="F56" t="s">
        <v>20</v>
      </c>
      <c r="G56" t="s">
        <v>21</v>
      </c>
      <c r="H56" t="s">
        <v>22</v>
      </c>
      <c r="I56" s="5">
        <v>4</v>
      </c>
      <c r="J56" s="3">
        <v>25.6</v>
      </c>
      <c r="K56" s="3">
        <v>102.4</v>
      </c>
      <c r="L56" s="3">
        <v>15.01</v>
      </c>
      <c r="M56" s="3">
        <v>60.04</v>
      </c>
      <c r="N56" s="3">
        <v>42.36</v>
      </c>
      <c r="O56" s="4">
        <v>0.41367187499999997</v>
      </c>
      <c r="P56" s="3">
        <v>140000</v>
      </c>
    </row>
    <row r="57" spans="1:16">
      <c r="A57" t="s">
        <v>109</v>
      </c>
      <c r="B57" s="2">
        <v>45935</v>
      </c>
      <c r="C57" t="s">
        <v>24</v>
      </c>
      <c r="D57" t="s">
        <v>74</v>
      </c>
      <c r="E57" t="s">
        <v>26</v>
      </c>
      <c r="F57" t="s">
        <v>43</v>
      </c>
      <c r="G57" t="s">
        <v>27</v>
      </c>
      <c r="H57" t="s">
        <v>44</v>
      </c>
      <c r="I57" s="5">
        <v>1</v>
      </c>
      <c r="J57" s="3">
        <v>348.31</v>
      </c>
      <c r="K57" s="3">
        <v>348.31</v>
      </c>
      <c r="L57" s="3">
        <v>217.68</v>
      </c>
      <c r="M57" s="3">
        <v>217.68</v>
      </c>
      <c r="N57" s="3">
        <v>130.63</v>
      </c>
      <c r="O57" s="4">
        <v>0.37503947632855789</v>
      </c>
      <c r="P57" s="3">
        <v>135000</v>
      </c>
    </row>
    <row r="58" spans="1:16">
      <c r="A58" t="s">
        <v>110</v>
      </c>
      <c r="B58" s="2">
        <v>45852</v>
      </c>
      <c r="C58" t="s">
        <v>24</v>
      </c>
      <c r="D58" t="s">
        <v>25</v>
      </c>
      <c r="E58" t="s">
        <v>42</v>
      </c>
      <c r="F58" t="s">
        <v>20</v>
      </c>
      <c r="G58" t="s">
        <v>27</v>
      </c>
      <c r="H58" t="s">
        <v>44</v>
      </c>
      <c r="I58" s="5">
        <v>7</v>
      </c>
      <c r="J58" s="3">
        <v>325.89</v>
      </c>
      <c r="K58" s="3">
        <v>2281.23</v>
      </c>
      <c r="L58" s="3">
        <v>217.03</v>
      </c>
      <c r="M58" s="3">
        <v>1519.21</v>
      </c>
      <c r="N58" s="3">
        <v>762.02</v>
      </c>
      <c r="O58" s="4">
        <v>0.3340390929454724</v>
      </c>
      <c r="P58" s="3">
        <v>135000</v>
      </c>
    </row>
    <row r="59" spans="1:16">
      <c r="A59" t="s">
        <v>111</v>
      </c>
      <c r="B59" s="2">
        <v>45966</v>
      </c>
      <c r="C59" t="s">
        <v>33</v>
      </c>
      <c r="D59" t="s">
        <v>54</v>
      </c>
      <c r="E59" t="s">
        <v>26</v>
      </c>
      <c r="F59" t="s">
        <v>20</v>
      </c>
      <c r="G59" t="s">
        <v>21</v>
      </c>
      <c r="H59" t="s">
        <v>31</v>
      </c>
      <c r="I59" s="5">
        <v>7</v>
      </c>
      <c r="J59" s="3">
        <v>11.69</v>
      </c>
      <c r="K59" s="3">
        <v>81.83</v>
      </c>
      <c r="L59" s="3">
        <v>6.17</v>
      </c>
      <c r="M59" s="3">
        <v>43.19</v>
      </c>
      <c r="N59" s="3">
        <v>38.64</v>
      </c>
      <c r="O59" s="4">
        <v>0.47219846022241235</v>
      </c>
      <c r="P59" s="3">
        <v>155000</v>
      </c>
    </row>
    <row r="60" spans="1:16">
      <c r="A60" t="s">
        <v>112</v>
      </c>
      <c r="B60" s="2">
        <v>45865</v>
      </c>
      <c r="C60" t="s">
        <v>33</v>
      </c>
      <c r="D60" t="s">
        <v>54</v>
      </c>
      <c r="E60" t="s">
        <v>42</v>
      </c>
      <c r="F60" t="s">
        <v>43</v>
      </c>
      <c r="G60" t="s">
        <v>27</v>
      </c>
      <c r="H60" t="s">
        <v>28</v>
      </c>
      <c r="I60" s="5">
        <v>1</v>
      </c>
      <c r="J60" s="3">
        <v>197.91</v>
      </c>
      <c r="K60" s="3">
        <v>197.91</v>
      </c>
      <c r="L60" s="3">
        <v>117.21</v>
      </c>
      <c r="M60" s="3">
        <v>117.21</v>
      </c>
      <c r="N60" s="3">
        <v>80.7</v>
      </c>
      <c r="O60" s="4">
        <v>0.40776110353190848</v>
      </c>
      <c r="P60" s="3">
        <v>155000</v>
      </c>
    </row>
    <row r="61" spans="1:16">
      <c r="A61" t="s">
        <v>113</v>
      </c>
      <c r="B61" s="2">
        <v>45997</v>
      </c>
      <c r="C61" t="s">
        <v>17</v>
      </c>
      <c r="D61" t="s">
        <v>18</v>
      </c>
      <c r="E61" t="s">
        <v>19</v>
      </c>
      <c r="F61" t="s">
        <v>20</v>
      </c>
      <c r="G61" t="s">
        <v>27</v>
      </c>
      <c r="H61" t="s">
        <v>55</v>
      </c>
      <c r="I61" s="5">
        <v>3</v>
      </c>
      <c r="J61" s="3">
        <v>564.86</v>
      </c>
      <c r="K61" s="3">
        <v>1694.58</v>
      </c>
      <c r="L61" s="3">
        <v>429.1</v>
      </c>
      <c r="M61" s="3">
        <v>1287.3</v>
      </c>
      <c r="N61" s="3">
        <v>407.28</v>
      </c>
      <c r="O61" s="4">
        <v>0.24034273979393123</v>
      </c>
      <c r="P61" s="3">
        <v>140000</v>
      </c>
    </row>
    <row r="62" spans="1:16">
      <c r="A62" t="s">
        <v>114</v>
      </c>
      <c r="B62" s="2">
        <v>45766</v>
      </c>
      <c r="C62" t="s">
        <v>24</v>
      </c>
      <c r="D62" t="s">
        <v>49</v>
      </c>
      <c r="E62" t="s">
        <v>26</v>
      </c>
      <c r="F62" t="s">
        <v>43</v>
      </c>
      <c r="G62" t="s">
        <v>35</v>
      </c>
      <c r="H62" t="s">
        <v>63</v>
      </c>
      <c r="I62" s="5">
        <v>7</v>
      </c>
      <c r="J62" s="3">
        <v>248.43</v>
      </c>
      <c r="K62" s="3">
        <v>1739.01</v>
      </c>
      <c r="L62" s="3">
        <v>174.27</v>
      </c>
      <c r="M62" s="3">
        <v>1219.8900000000001</v>
      </c>
      <c r="N62" s="3">
        <v>519.12</v>
      </c>
      <c r="O62" s="4">
        <v>0.29851467214104577</v>
      </c>
      <c r="P62" s="3">
        <v>135000</v>
      </c>
    </row>
    <row r="63" spans="1:16">
      <c r="A63" t="s">
        <v>115</v>
      </c>
      <c r="B63" s="2">
        <v>45667</v>
      </c>
      <c r="C63" t="s">
        <v>17</v>
      </c>
      <c r="D63" t="s">
        <v>80</v>
      </c>
      <c r="E63" t="s">
        <v>26</v>
      </c>
      <c r="F63" t="s">
        <v>20</v>
      </c>
      <c r="G63" t="s">
        <v>21</v>
      </c>
      <c r="H63" t="s">
        <v>31</v>
      </c>
      <c r="I63" s="5">
        <v>1</v>
      </c>
      <c r="J63" s="3">
        <v>13.31</v>
      </c>
      <c r="K63" s="3">
        <v>13.31</v>
      </c>
      <c r="L63" s="3">
        <v>5.88</v>
      </c>
      <c r="M63" s="3">
        <v>5.88</v>
      </c>
      <c r="N63" s="3">
        <v>7.43</v>
      </c>
      <c r="O63" s="4">
        <v>0.55822689706987227</v>
      </c>
      <c r="P63" s="3">
        <v>140000</v>
      </c>
    </row>
    <row r="64" spans="1:16">
      <c r="A64" t="s">
        <v>116</v>
      </c>
      <c r="B64" s="2">
        <v>45668</v>
      </c>
      <c r="C64" t="s">
        <v>33</v>
      </c>
      <c r="D64" t="s">
        <v>68</v>
      </c>
      <c r="E64" t="s">
        <v>26</v>
      </c>
      <c r="F64" t="s">
        <v>50</v>
      </c>
      <c r="G64" t="s">
        <v>35</v>
      </c>
      <c r="H64" t="s">
        <v>58</v>
      </c>
      <c r="I64" s="5">
        <v>8</v>
      </c>
      <c r="J64" s="3">
        <v>1001.19</v>
      </c>
      <c r="K64" s="3">
        <v>8009.52</v>
      </c>
      <c r="L64" s="3">
        <v>746.42</v>
      </c>
      <c r="M64" s="3">
        <v>5971.36</v>
      </c>
      <c r="N64" s="3">
        <v>2038.16</v>
      </c>
      <c r="O64" s="4">
        <v>0.25446718405097934</v>
      </c>
      <c r="P64" s="3">
        <v>155000</v>
      </c>
    </row>
    <row r="65" spans="1:16">
      <c r="A65" t="s">
        <v>117</v>
      </c>
      <c r="B65" s="2">
        <v>45743</v>
      </c>
      <c r="C65" t="s">
        <v>17</v>
      </c>
      <c r="D65" t="s">
        <v>60</v>
      </c>
      <c r="E65" t="s">
        <v>42</v>
      </c>
      <c r="F65" t="s">
        <v>20</v>
      </c>
      <c r="G65" t="s">
        <v>21</v>
      </c>
      <c r="H65" t="s">
        <v>31</v>
      </c>
      <c r="I65" s="5">
        <v>5</v>
      </c>
      <c r="J65" s="3">
        <v>12.32</v>
      </c>
      <c r="K65" s="3">
        <v>61.6</v>
      </c>
      <c r="L65" s="3">
        <v>6.3</v>
      </c>
      <c r="M65" s="3">
        <v>31.5</v>
      </c>
      <c r="N65" s="3">
        <v>30.1</v>
      </c>
      <c r="O65" s="4">
        <v>0.48863636363636365</v>
      </c>
      <c r="P65" s="3">
        <v>140000</v>
      </c>
    </row>
    <row r="66" spans="1:16">
      <c r="A66" t="s">
        <v>118</v>
      </c>
      <c r="B66" s="2">
        <v>45850</v>
      </c>
      <c r="C66" t="s">
        <v>24</v>
      </c>
      <c r="D66" t="s">
        <v>30</v>
      </c>
      <c r="E66" t="s">
        <v>26</v>
      </c>
      <c r="F66" t="s">
        <v>50</v>
      </c>
      <c r="G66" t="s">
        <v>35</v>
      </c>
      <c r="H66" t="s">
        <v>58</v>
      </c>
      <c r="I66" s="5">
        <v>2</v>
      </c>
      <c r="J66" s="3">
        <v>1000.71</v>
      </c>
      <c r="K66" s="3">
        <v>2001.42</v>
      </c>
      <c r="L66" s="3">
        <v>712.91</v>
      </c>
      <c r="M66" s="3">
        <v>1425.82</v>
      </c>
      <c r="N66" s="3">
        <v>575.6</v>
      </c>
      <c r="O66" s="4">
        <v>0.28759580697704629</v>
      </c>
      <c r="P66" s="3">
        <v>135000</v>
      </c>
    </row>
    <row r="67" spans="1:16">
      <c r="A67" t="s">
        <v>119</v>
      </c>
      <c r="B67" s="2">
        <v>46008</v>
      </c>
      <c r="C67" t="s">
        <v>17</v>
      </c>
      <c r="D67" t="s">
        <v>18</v>
      </c>
      <c r="E67" t="s">
        <v>26</v>
      </c>
      <c r="F67" t="s">
        <v>20</v>
      </c>
      <c r="G67" t="s">
        <v>35</v>
      </c>
      <c r="H67" t="s">
        <v>36</v>
      </c>
      <c r="I67" s="5">
        <v>2</v>
      </c>
      <c r="J67" s="3">
        <v>35.4</v>
      </c>
      <c r="K67" s="3">
        <v>70.8</v>
      </c>
      <c r="L67" s="3">
        <v>17.89</v>
      </c>
      <c r="M67" s="3">
        <v>35.78</v>
      </c>
      <c r="N67" s="3">
        <v>35.020000000000003</v>
      </c>
      <c r="O67" s="4">
        <v>0.49463276836158199</v>
      </c>
      <c r="P67" s="3">
        <v>140000</v>
      </c>
    </row>
    <row r="68" spans="1:16">
      <c r="A68" t="s">
        <v>120</v>
      </c>
      <c r="B68" s="2">
        <v>45873</v>
      </c>
      <c r="C68" t="s">
        <v>24</v>
      </c>
      <c r="D68" t="s">
        <v>25</v>
      </c>
      <c r="E68" t="s">
        <v>26</v>
      </c>
      <c r="F68" t="s">
        <v>20</v>
      </c>
      <c r="G68" t="s">
        <v>27</v>
      </c>
      <c r="H68" t="s">
        <v>55</v>
      </c>
      <c r="I68" s="5">
        <v>3</v>
      </c>
      <c r="J68" s="3">
        <v>617.4</v>
      </c>
      <c r="K68" s="3">
        <v>1852.2</v>
      </c>
      <c r="L68" s="3">
        <v>444.35</v>
      </c>
      <c r="M68" s="3">
        <v>1333.05</v>
      </c>
      <c r="N68" s="3">
        <v>519.15</v>
      </c>
      <c r="O68" s="4">
        <v>0.28028830579850988</v>
      </c>
      <c r="P68" s="3">
        <v>135000</v>
      </c>
    </row>
    <row r="69" spans="1:16">
      <c r="A69" t="s">
        <v>121</v>
      </c>
      <c r="B69" s="2">
        <v>45991</v>
      </c>
      <c r="C69" t="s">
        <v>40</v>
      </c>
      <c r="D69" t="s">
        <v>57</v>
      </c>
      <c r="E69" t="s">
        <v>19</v>
      </c>
      <c r="F69" t="s">
        <v>43</v>
      </c>
      <c r="G69" t="s">
        <v>35</v>
      </c>
      <c r="H69" t="s">
        <v>63</v>
      </c>
      <c r="I69" s="5">
        <v>6</v>
      </c>
      <c r="J69" s="3">
        <v>282.72000000000003</v>
      </c>
      <c r="K69" s="3">
        <v>1696.32</v>
      </c>
      <c r="L69" s="3">
        <v>187.75</v>
      </c>
      <c r="M69" s="3">
        <v>1126.5</v>
      </c>
      <c r="N69" s="3">
        <v>569.82000000000005</v>
      </c>
      <c r="O69" s="4">
        <v>0.33591539332201475</v>
      </c>
      <c r="P69" s="3">
        <v>165000</v>
      </c>
    </row>
    <row r="70" spans="1:16">
      <c r="A70" t="s">
        <v>122</v>
      </c>
      <c r="B70" s="2">
        <v>45702</v>
      </c>
      <c r="C70" t="s">
        <v>40</v>
      </c>
      <c r="D70" t="s">
        <v>57</v>
      </c>
      <c r="E70" t="s">
        <v>26</v>
      </c>
      <c r="F70" t="s">
        <v>50</v>
      </c>
      <c r="G70" t="s">
        <v>27</v>
      </c>
      <c r="H70" t="s">
        <v>44</v>
      </c>
      <c r="I70" s="5">
        <v>6</v>
      </c>
      <c r="J70" s="3">
        <v>290.02</v>
      </c>
      <c r="K70" s="3">
        <v>1740.12</v>
      </c>
      <c r="L70" s="3">
        <v>219.47</v>
      </c>
      <c r="M70" s="3">
        <v>1316.82</v>
      </c>
      <c r="N70" s="3">
        <v>423.3</v>
      </c>
      <c r="O70" s="4">
        <v>0.24325908558030482</v>
      </c>
      <c r="P70" s="3">
        <v>165000</v>
      </c>
    </row>
    <row r="71" spans="1:16">
      <c r="A71" t="s">
        <v>123</v>
      </c>
      <c r="B71" s="2">
        <v>45751</v>
      </c>
      <c r="C71" t="s">
        <v>24</v>
      </c>
      <c r="D71" t="s">
        <v>30</v>
      </c>
      <c r="E71" t="s">
        <v>26</v>
      </c>
      <c r="F71" t="s">
        <v>20</v>
      </c>
      <c r="G71" t="s">
        <v>35</v>
      </c>
      <c r="H71" t="s">
        <v>63</v>
      </c>
      <c r="I71" s="5">
        <v>5</v>
      </c>
      <c r="J71" s="3">
        <v>265.79000000000002</v>
      </c>
      <c r="K71" s="3">
        <v>1328.95</v>
      </c>
      <c r="L71" s="3">
        <v>182.1</v>
      </c>
      <c r="M71" s="3">
        <v>910.5</v>
      </c>
      <c r="N71" s="3">
        <v>418.45</v>
      </c>
      <c r="O71" s="4">
        <v>0.31487264381654689</v>
      </c>
      <c r="P71" s="3">
        <v>135000</v>
      </c>
    </row>
    <row r="72" spans="1:16">
      <c r="A72" t="s">
        <v>124</v>
      </c>
      <c r="B72" s="2">
        <v>45755</v>
      </c>
      <c r="C72" t="s">
        <v>17</v>
      </c>
      <c r="D72" t="s">
        <v>60</v>
      </c>
      <c r="E72" t="s">
        <v>19</v>
      </c>
      <c r="F72" t="s">
        <v>50</v>
      </c>
      <c r="G72" t="s">
        <v>35</v>
      </c>
      <c r="H72" t="s">
        <v>58</v>
      </c>
      <c r="I72" s="5">
        <v>8</v>
      </c>
      <c r="J72" s="3">
        <v>989.99</v>
      </c>
      <c r="K72" s="3">
        <v>7919.92</v>
      </c>
      <c r="L72" s="3">
        <v>726.54</v>
      </c>
      <c r="M72" s="3">
        <v>5812.32</v>
      </c>
      <c r="N72" s="3">
        <v>2107.6</v>
      </c>
      <c r="O72" s="4">
        <v>0.26611379912928412</v>
      </c>
      <c r="P72" s="3">
        <v>140000</v>
      </c>
    </row>
    <row r="73" spans="1:16">
      <c r="A73" t="s">
        <v>125</v>
      </c>
      <c r="B73" s="2">
        <v>45666</v>
      </c>
      <c r="C73" t="s">
        <v>17</v>
      </c>
      <c r="D73" t="s">
        <v>80</v>
      </c>
      <c r="E73" t="s">
        <v>26</v>
      </c>
      <c r="F73" t="s">
        <v>50</v>
      </c>
      <c r="G73" t="s">
        <v>35</v>
      </c>
      <c r="H73" t="s">
        <v>63</v>
      </c>
      <c r="I73" s="5">
        <v>6</v>
      </c>
      <c r="J73" s="3">
        <v>261.07</v>
      </c>
      <c r="K73" s="3">
        <v>1566.42</v>
      </c>
      <c r="L73" s="3">
        <v>182.36</v>
      </c>
      <c r="M73" s="3">
        <v>1094.1600000000001</v>
      </c>
      <c r="N73" s="3">
        <v>472.26</v>
      </c>
      <c r="O73" s="4">
        <v>0.30149002183322476</v>
      </c>
      <c r="P73" s="3">
        <v>140000</v>
      </c>
    </row>
    <row r="74" spans="1:16">
      <c r="A74" t="s">
        <v>126</v>
      </c>
      <c r="B74" s="2">
        <v>45875</v>
      </c>
      <c r="C74" t="s">
        <v>40</v>
      </c>
      <c r="D74" t="s">
        <v>46</v>
      </c>
      <c r="E74" t="s">
        <v>19</v>
      </c>
      <c r="F74" t="s">
        <v>20</v>
      </c>
      <c r="G74" t="s">
        <v>35</v>
      </c>
      <c r="H74" t="s">
        <v>63</v>
      </c>
      <c r="I74" s="5">
        <v>4</v>
      </c>
      <c r="J74" s="3">
        <v>240.9</v>
      </c>
      <c r="K74" s="3">
        <v>963.6</v>
      </c>
      <c r="L74" s="3">
        <v>176.27</v>
      </c>
      <c r="M74" s="3">
        <v>705.08</v>
      </c>
      <c r="N74" s="3">
        <v>258.52</v>
      </c>
      <c r="O74" s="4">
        <v>0.26828559568285593</v>
      </c>
      <c r="P74" s="3">
        <v>165000</v>
      </c>
    </row>
    <row r="75" spans="1:16">
      <c r="A75" t="s">
        <v>127</v>
      </c>
      <c r="B75" s="2">
        <v>45719</v>
      </c>
      <c r="C75" t="s">
        <v>33</v>
      </c>
      <c r="D75" t="s">
        <v>68</v>
      </c>
      <c r="E75" t="s">
        <v>26</v>
      </c>
      <c r="F75" t="s">
        <v>50</v>
      </c>
      <c r="G75" t="s">
        <v>27</v>
      </c>
      <c r="H75" t="s">
        <v>28</v>
      </c>
      <c r="I75" s="5">
        <v>5</v>
      </c>
      <c r="J75" s="3">
        <v>200.83</v>
      </c>
      <c r="K75" s="3">
        <v>1004.15</v>
      </c>
      <c r="L75" s="3">
        <v>119.98</v>
      </c>
      <c r="M75" s="3">
        <v>599.9</v>
      </c>
      <c r="N75" s="3">
        <v>404.25</v>
      </c>
      <c r="O75" s="4">
        <v>0.40257929592192404</v>
      </c>
      <c r="P75" s="3">
        <v>155000</v>
      </c>
    </row>
    <row r="76" spans="1:16">
      <c r="A76" t="s">
        <v>128</v>
      </c>
      <c r="B76" s="2">
        <v>45809</v>
      </c>
      <c r="C76" t="s">
        <v>33</v>
      </c>
      <c r="D76" t="s">
        <v>34</v>
      </c>
      <c r="E76" t="s">
        <v>26</v>
      </c>
      <c r="F76" t="s">
        <v>20</v>
      </c>
      <c r="G76" t="s">
        <v>27</v>
      </c>
      <c r="H76" t="s">
        <v>28</v>
      </c>
      <c r="I76" s="5">
        <v>3</v>
      </c>
      <c r="J76" s="3">
        <v>172.86</v>
      </c>
      <c r="K76" s="3">
        <v>518.58000000000004</v>
      </c>
      <c r="L76" s="3">
        <v>121.6</v>
      </c>
      <c r="M76" s="3">
        <v>364.8</v>
      </c>
      <c r="N76" s="3">
        <v>153.78</v>
      </c>
      <c r="O76" s="4">
        <v>0.29654055304870991</v>
      </c>
      <c r="P76" s="3">
        <v>155000</v>
      </c>
    </row>
    <row r="77" spans="1:16">
      <c r="A77" t="s">
        <v>129</v>
      </c>
      <c r="B77" s="2">
        <v>45941</v>
      </c>
      <c r="C77" t="s">
        <v>40</v>
      </c>
      <c r="D77" t="s">
        <v>65</v>
      </c>
      <c r="E77" t="s">
        <v>19</v>
      </c>
      <c r="F77" t="s">
        <v>50</v>
      </c>
      <c r="G77" t="s">
        <v>21</v>
      </c>
      <c r="H77" t="s">
        <v>47</v>
      </c>
      <c r="I77" s="5">
        <v>1</v>
      </c>
      <c r="J77" s="3">
        <v>43.1</v>
      </c>
      <c r="K77" s="3">
        <v>43.1</v>
      </c>
      <c r="L77" s="3">
        <v>24.17</v>
      </c>
      <c r="M77" s="3">
        <v>24.17</v>
      </c>
      <c r="N77" s="3">
        <v>18.93</v>
      </c>
      <c r="O77" s="4">
        <v>0.43921113689095126</v>
      </c>
      <c r="P77" s="3">
        <v>165000</v>
      </c>
    </row>
    <row r="78" spans="1:16">
      <c r="A78" t="s">
        <v>130</v>
      </c>
      <c r="B78" s="2">
        <v>45883</v>
      </c>
      <c r="C78" t="s">
        <v>40</v>
      </c>
      <c r="D78" t="s">
        <v>65</v>
      </c>
      <c r="E78" t="s">
        <v>42</v>
      </c>
      <c r="F78" t="s">
        <v>20</v>
      </c>
      <c r="G78" t="s">
        <v>27</v>
      </c>
      <c r="H78" t="s">
        <v>55</v>
      </c>
      <c r="I78" s="5">
        <v>2</v>
      </c>
      <c r="J78" s="3">
        <v>670.14</v>
      </c>
      <c r="K78" s="3">
        <v>1340.28</v>
      </c>
      <c r="L78" s="3">
        <v>430.03</v>
      </c>
      <c r="M78" s="3">
        <v>860.06</v>
      </c>
      <c r="N78" s="3">
        <v>480.22</v>
      </c>
      <c r="O78" s="4">
        <v>0.35829826603396309</v>
      </c>
      <c r="P78" s="3">
        <v>165000</v>
      </c>
    </row>
    <row r="79" spans="1:16">
      <c r="A79" t="s">
        <v>131</v>
      </c>
      <c r="B79" s="2">
        <v>45695</v>
      </c>
      <c r="C79" t="s">
        <v>17</v>
      </c>
      <c r="D79" t="s">
        <v>60</v>
      </c>
      <c r="E79" t="s">
        <v>26</v>
      </c>
      <c r="F79" t="s">
        <v>50</v>
      </c>
      <c r="G79" t="s">
        <v>35</v>
      </c>
      <c r="H79" t="s">
        <v>63</v>
      </c>
      <c r="I79" s="5">
        <v>2</v>
      </c>
      <c r="J79" s="3">
        <v>290.85000000000002</v>
      </c>
      <c r="K79" s="3">
        <v>581.70000000000005</v>
      </c>
      <c r="L79" s="3">
        <v>174.93</v>
      </c>
      <c r="M79" s="3">
        <v>349.86</v>
      </c>
      <c r="N79" s="3">
        <v>231.84</v>
      </c>
      <c r="O79" s="4">
        <v>0.39855595667870036</v>
      </c>
      <c r="P79" s="3">
        <v>140000</v>
      </c>
    </row>
    <row r="80" spans="1:16">
      <c r="A80" t="s">
        <v>132</v>
      </c>
      <c r="B80" s="2">
        <v>45871</v>
      </c>
      <c r="C80" t="s">
        <v>33</v>
      </c>
      <c r="D80" t="s">
        <v>54</v>
      </c>
      <c r="E80" t="s">
        <v>19</v>
      </c>
      <c r="F80" t="s">
        <v>20</v>
      </c>
      <c r="G80" t="s">
        <v>27</v>
      </c>
      <c r="H80" t="s">
        <v>44</v>
      </c>
      <c r="I80" s="5">
        <v>5</v>
      </c>
      <c r="J80" s="3">
        <v>328.03</v>
      </c>
      <c r="K80" s="3">
        <v>1640.15</v>
      </c>
      <c r="L80" s="3">
        <v>202.86</v>
      </c>
      <c r="M80" s="3">
        <v>1014.3</v>
      </c>
      <c r="N80" s="3">
        <v>625.85</v>
      </c>
      <c r="O80" s="4">
        <v>0.38158095296161937</v>
      </c>
      <c r="P80" s="3">
        <v>155000</v>
      </c>
    </row>
    <row r="81" spans="1:16">
      <c r="A81" t="s">
        <v>133</v>
      </c>
      <c r="B81" s="2">
        <v>45708</v>
      </c>
      <c r="C81" t="s">
        <v>33</v>
      </c>
      <c r="D81" t="s">
        <v>68</v>
      </c>
      <c r="E81" t="s">
        <v>26</v>
      </c>
      <c r="F81" t="s">
        <v>20</v>
      </c>
      <c r="G81" t="s">
        <v>35</v>
      </c>
      <c r="H81" t="s">
        <v>58</v>
      </c>
      <c r="I81" s="5">
        <v>3</v>
      </c>
      <c r="J81" s="3">
        <v>970.37</v>
      </c>
      <c r="K81" s="3">
        <v>2911.11</v>
      </c>
      <c r="L81" s="3">
        <v>702.47</v>
      </c>
      <c r="M81" s="3">
        <v>2107.41</v>
      </c>
      <c r="N81" s="3">
        <v>803.7</v>
      </c>
      <c r="O81" s="4">
        <v>0.27608025804590003</v>
      </c>
      <c r="P81" s="3">
        <v>155000</v>
      </c>
    </row>
    <row r="82" spans="1:16">
      <c r="A82" t="s">
        <v>134</v>
      </c>
      <c r="B82" s="2">
        <v>45867</v>
      </c>
      <c r="C82" t="s">
        <v>24</v>
      </c>
      <c r="D82" t="s">
        <v>74</v>
      </c>
      <c r="E82" t="s">
        <v>26</v>
      </c>
      <c r="F82" t="s">
        <v>20</v>
      </c>
      <c r="G82" t="s">
        <v>35</v>
      </c>
      <c r="H82" t="s">
        <v>63</v>
      </c>
      <c r="I82" s="5">
        <v>8</v>
      </c>
      <c r="J82" s="3">
        <v>238.07</v>
      </c>
      <c r="K82" s="3">
        <v>1904.56</v>
      </c>
      <c r="L82" s="3">
        <v>177</v>
      </c>
      <c r="M82" s="3">
        <v>1416</v>
      </c>
      <c r="N82" s="3">
        <v>488.56</v>
      </c>
      <c r="O82" s="4">
        <v>0.2565211912462721</v>
      </c>
      <c r="P82" s="3">
        <v>135000</v>
      </c>
    </row>
    <row r="83" spans="1:16">
      <c r="A83" t="s">
        <v>135</v>
      </c>
      <c r="B83" s="2">
        <v>45793</v>
      </c>
      <c r="C83" t="s">
        <v>33</v>
      </c>
      <c r="D83" t="s">
        <v>54</v>
      </c>
      <c r="E83" t="s">
        <v>26</v>
      </c>
      <c r="F83" t="s">
        <v>20</v>
      </c>
      <c r="G83" t="s">
        <v>21</v>
      </c>
      <c r="H83" t="s">
        <v>22</v>
      </c>
      <c r="I83" s="5">
        <v>5</v>
      </c>
      <c r="J83" s="3">
        <v>30.29</v>
      </c>
      <c r="K83" s="3">
        <v>151.44999999999999</v>
      </c>
      <c r="L83" s="3">
        <v>14.51</v>
      </c>
      <c r="M83" s="3">
        <v>72.55</v>
      </c>
      <c r="N83" s="3">
        <v>78.900000000000006</v>
      </c>
      <c r="O83" s="4">
        <v>0.52096401452624641</v>
      </c>
      <c r="P83" s="3">
        <v>155000</v>
      </c>
    </row>
    <row r="84" spans="1:16">
      <c r="A84" t="s">
        <v>136</v>
      </c>
      <c r="B84" s="2">
        <v>45742</v>
      </c>
      <c r="C84" t="s">
        <v>40</v>
      </c>
      <c r="D84" t="s">
        <v>46</v>
      </c>
      <c r="E84" t="s">
        <v>26</v>
      </c>
      <c r="F84" t="s">
        <v>50</v>
      </c>
      <c r="G84" t="s">
        <v>35</v>
      </c>
      <c r="H84" t="s">
        <v>63</v>
      </c>
      <c r="I84" s="5">
        <v>7</v>
      </c>
      <c r="J84" s="3">
        <v>287.92</v>
      </c>
      <c r="K84" s="3">
        <v>2015.44</v>
      </c>
      <c r="L84" s="3">
        <v>181.81</v>
      </c>
      <c r="M84" s="3">
        <v>1272.67</v>
      </c>
      <c r="N84" s="3">
        <v>742.77</v>
      </c>
      <c r="O84" s="4">
        <v>0.36853987218671852</v>
      </c>
      <c r="P84" s="3">
        <v>165000</v>
      </c>
    </row>
    <row r="85" spans="1:16">
      <c r="A85" t="s">
        <v>137</v>
      </c>
      <c r="B85" s="2">
        <v>45910</v>
      </c>
      <c r="C85" t="s">
        <v>24</v>
      </c>
      <c r="D85" t="s">
        <v>25</v>
      </c>
      <c r="E85" t="s">
        <v>19</v>
      </c>
      <c r="F85" t="s">
        <v>43</v>
      </c>
      <c r="G85" t="s">
        <v>35</v>
      </c>
      <c r="H85" t="s">
        <v>36</v>
      </c>
      <c r="I85" s="5">
        <v>5</v>
      </c>
      <c r="J85" s="3">
        <v>31.7</v>
      </c>
      <c r="K85" s="3">
        <v>158.5</v>
      </c>
      <c r="L85" s="3">
        <v>17.690000000000001</v>
      </c>
      <c r="M85" s="3">
        <v>88.45</v>
      </c>
      <c r="N85" s="3">
        <v>70.05</v>
      </c>
      <c r="O85" s="4">
        <v>0.4419558359621451</v>
      </c>
      <c r="P85" s="3">
        <v>135000</v>
      </c>
    </row>
    <row r="86" spans="1:16">
      <c r="A86" t="s">
        <v>138</v>
      </c>
      <c r="B86" s="2">
        <v>46003</v>
      </c>
      <c r="C86" t="s">
        <v>17</v>
      </c>
      <c r="D86" t="s">
        <v>80</v>
      </c>
      <c r="E86" t="s">
        <v>19</v>
      </c>
      <c r="F86" t="s">
        <v>50</v>
      </c>
      <c r="G86" t="s">
        <v>21</v>
      </c>
      <c r="H86" t="s">
        <v>22</v>
      </c>
      <c r="I86" s="5">
        <v>8</v>
      </c>
      <c r="J86" s="3">
        <v>28.4</v>
      </c>
      <c r="K86" s="3">
        <v>227.2</v>
      </c>
      <c r="L86" s="3">
        <v>15.06</v>
      </c>
      <c r="M86" s="3">
        <v>120.48</v>
      </c>
      <c r="N86" s="3">
        <v>106.72</v>
      </c>
      <c r="O86" s="4">
        <v>0.46971830985915497</v>
      </c>
      <c r="P86" s="3">
        <v>140000</v>
      </c>
    </row>
    <row r="87" spans="1:16">
      <c r="A87" t="s">
        <v>139</v>
      </c>
      <c r="B87" s="2">
        <v>45800</v>
      </c>
      <c r="C87" t="s">
        <v>33</v>
      </c>
      <c r="D87" t="s">
        <v>54</v>
      </c>
      <c r="E87" t="s">
        <v>19</v>
      </c>
      <c r="F87" t="s">
        <v>50</v>
      </c>
      <c r="G87" t="s">
        <v>21</v>
      </c>
      <c r="H87" t="s">
        <v>47</v>
      </c>
      <c r="I87" s="5">
        <v>8</v>
      </c>
      <c r="J87" s="3">
        <v>41.02</v>
      </c>
      <c r="K87" s="3">
        <v>328.16</v>
      </c>
      <c r="L87" s="3">
        <v>23.84</v>
      </c>
      <c r="M87" s="3">
        <v>190.72</v>
      </c>
      <c r="N87" s="3">
        <v>137.44</v>
      </c>
      <c r="O87" s="4">
        <v>0.41882008776206725</v>
      </c>
      <c r="P87" s="3">
        <v>155000</v>
      </c>
    </row>
    <row r="88" spans="1:16">
      <c r="A88" t="s">
        <v>140</v>
      </c>
      <c r="B88" s="2">
        <v>46001</v>
      </c>
      <c r="C88" t="s">
        <v>17</v>
      </c>
      <c r="D88" t="s">
        <v>60</v>
      </c>
      <c r="E88" t="s">
        <v>26</v>
      </c>
      <c r="F88" t="s">
        <v>50</v>
      </c>
      <c r="G88" t="s">
        <v>35</v>
      </c>
      <c r="H88" t="s">
        <v>63</v>
      </c>
      <c r="I88" s="5">
        <v>7</v>
      </c>
      <c r="J88" s="3">
        <v>280.54000000000002</v>
      </c>
      <c r="K88" s="3">
        <v>1963.78</v>
      </c>
      <c r="L88" s="3">
        <v>182.7</v>
      </c>
      <c r="M88" s="3">
        <v>1278.9000000000001</v>
      </c>
      <c r="N88" s="3">
        <v>684.88</v>
      </c>
      <c r="O88" s="4">
        <v>0.34875597062807445</v>
      </c>
      <c r="P88" s="3">
        <v>140000</v>
      </c>
    </row>
    <row r="89" spans="1:16">
      <c r="A89" t="s">
        <v>141</v>
      </c>
      <c r="B89" s="2">
        <v>45890</v>
      </c>
      <c r="C89" t="s">
        <v>17</v>
      </c>
      <c r="D89" t="s">
        <v>80</v>
      </c>
      <c r="E89" t="s">
        <v>26</v>
      </c>
      <c r="F89" t="s">
        <v>20</v>
      </c>
      <c r="G89" t="s">
        <v>27</v>
      </c>
      <c r="H89" t="s">
        <v>44</v>
      </c>
      <c r="I89" s="5">
        <v>1</v>
      </c>
      <c r="J89" s="3">
        <v>334.3</v>
      </c>
      <c r="K89" s="3">
        <v>334.3</v>
      </c>
      <c r="L89" s="3">
        <v>212.99</v>
      </c>
      <c r="M89" s="3">
        <v>212.99</v>
      </c>
      <c r="N89" s="3">
        <v>121.31</v>
      </c>
      <c r="O89" s="4">
        <v>0.36287765480107687</v>
      </c>
      <c r="P89" s="3">
        <v>140000</v>
      </c>
    </row>
    <row r="90" spans="1:16">
      <c r="A90" t="s">
        <v>142</v>
      </c>
      <c r="B90" s="2">
        <v>45869</v>
      </c>
      <c r="C90" t="s">
        <v>17</v>
      </c>
      <c r="D90" t="s">
        <v>60</v>
      </c>
      <c r="E90" t="s">
        <v>19</v>
      </c>
      <c r="F90" t="s">
        <v>50</v>
      </c>
      <c r="G90" t="s">
        <v>27</v>
      </c>
      <c r="H90" t="s">
        <v>55</v>
      </c>
      <c r="I90" s="5">
        <v>8</v>
      </c>
      <c r="J90" s="3">
        <v>661.66</v>
      </c>
      <c r="K90" s="3">
        <v>5293.28</v>
      </c>
      <c r="L90" s="3">
        <v>421.55</v>
      </c>
      <c r="M90" s="3">
        <v>3372.4</v>
      </c>
      <c r="N90" s="3">
        <v>1920.88</v>
      </c>
      <c r="O90" s="4">
        <v>0.3628903061995587</v>
      </c>
      <c r="P90" s="3">
        <v>140000</v>
      </c>
    </row>
    <row r="91" spans="1:16">
      <c r="A91" t="s">
        <v>143</v>
      </c>
      <c r="B91" s="2">
        <v>45939</v>
      </c>
      <c r="C91" t="s">
        <v>33</v>
      </c>
      <c r="D91" t="s">
        <v>34</v>
      </c>
      <c r="E91" t="s">
        <v>26</v>
      </c>
      <c r="F91" t="s">
        <v>50</v>
      </c>
      <c r="G91" t="s">
        <v>21</v>
      </c>
      <c r="H91" t="s">
        <v>47</v>
      </c>
      <c r="I91" s="5">
        <v>1</v>
      </c>
      <c r="J91" s="3">
        <v>46.79</v>
      </c>
      <c r="K91" s="3">
        <v>46.79</v>
      </c>
      <c r="L91" s="3">
        <v>24.5</v>
      </c>
      <c r="M91" s="3">
        <v>24.5</v>
      </c>
      <c r="N91" s="3">
        <v>22.29</v>
      </c>
      <c r="O91" s="4">
        <v>0.47638384270143191</v>
      </c>
      <c r="P91" s="3">
        <v>155000</v>
      </c>
    </row>
    <row r="92" spans="1:16">
      <c r="A92" t="s">
        <v>144</v>
      </c>
      <c r="B92" s="2">
        <v>45780</v>
      </c>
      <c r="C92" t="s">
        <v>33</v>
      </c>
      <c r="D92" t="s">
        <v>34</v>
      </c>
      <c r="E92" t="s">
        <v>19</v>
      </c>
      <c r="F92" t="s">
        <v>50</v>
      </c>
      <c r="G92" t="s">
        <v>21</v>
      </c>
      <c r="H92" t="s">
        <v>47</v>
      </c>
      <c r="I92" s="5">
        <v>4</v>
      </c>
      <c r="J92" s="3">
        <v>46.97</v>
      </c>
      <c r="K92" s="3">
        <v>187.88</v>
      </c>
      <c r="L92" s="3">
        <v>25.23</v>
      </c>
      <c r="M92" s="3">
        <v>100.92</v>
      </c>
      <c r="N92" s="3">
        <v>86.96</v>
      </c>
      <c r="O92" s="4">
        <v>0.462848626783053</v>
      </c>
      <c r="P92" s="3">
        <v>155000</v>
      </c>
    </row>
    <row r="93" spans="1:16">
      <c r="A93" t="s">
        <v>145</v>
      </c>
      <c r="B93" s="2">
        <v>45894</v>
      </c>
      <c r="C93" t="s">
        <v>17</v>
      </c>
      <c r="D93" t="s">
        <v>60</v>
      </c>
      <c r="E93" t="s">
        <v>19</v>
      </c>
      <c r="F93" t="s">
        <v>50</v>
      </c>
      <c r="G93" t="s">
        <v>27</v>
      </c>
      <c r="H93" t="s">
        <v>28</v>
      </c>
      <c r="I93" s="5">
        <v>5</v>
      </c>
      <c r="J93" s="3">
        <v>178.45</v>
      </c>
      <c r="K93" s="3">
        <v>892.25</v>
      </c>
      <c r="L93" s="3">
        <v>115.95</v>
      </c>
      <c r="M93" s="3">
        <v>579.75</v>
      </c>
      <c r="N93" s="3">
        <v>312.5</v>
      </c>
      <c r="O93" s="4">
        <v>0.35023816195012608</v>
      </c>
      <c r="P93" s="3">
        <v>140000</v>
      </c>
    </row>
    <row r="94" spans="1:16">
      <c r="A94" t="s">
        <v>146</v>
      </c>
      <c r="B94" s="2">
        <v>45899</v>
      </c>
      <c r="C94" t="s">
        <v>33</v>
      </c>
      <c r="D94" t="s">
        <v>54</v>
      </c>
      <c r="E94" t="s">
        <v>19</v>
      </c>
      <c r="F94" t="s">
        <v>20</v>
      </c>
      <c r="G94" t="s">
        <v>27</v>
      </c>
      <c r="H94" t="s">
        <v>28</v>
      </c>
      <c r="I94" s="5">
        <v>3</v>
      </c>
      <c r="J94" s="3">
        <v>196.22</v>
      </c>
      <c r="K94" s="3">
        <v>588.66</v>
      </c>
      <c r="L94" s="3">
        <v>113.58</v>
      </c>
      <c r="M94" s="3">
        <v>340.74</v>
      </c>
      <c r="N94" s="3">
        <v>247.92</v>
      </c>
      <c r="O94" s="4">
        <v>0.42115992253592904</v>
      </c>
      <c r="P94" s="3">
        <v>155000</v>
      </c>
    </row>
    <row r="95" spans="1:16">
      <c r="A95" t="s">
        <v>147</v>
      </c>
      <c r="B95" s="2">
        <v>45870</v>
      </c>
      <c r="C95" t="s">
        <v>40</v>
      </c>
      <c r="D95" t="s">
        <v>46</v>
      </c>
      <c r="E95" t="s">
        <v>42</v>
      </c>
      <c r="F95" t="s">
        <v>20</v>
      </c>
      <c r="G95" t="s">
        <v>35</v>
      </c>
      <c r="H95" t="s">
        <v>63</v>
      </c>
      <c r="I95" s="5">
        <v>8</v>
      </c>
      <c r="J95" s="3">
        <v>283.49</v>
      </c>
      <c r="K95" s="3">
        <v>2267.92</v>
      </c>
      <c r="L95" s="3">
        <v>180.84</v>
      </c>
      <c r="M95" s="3">
        <v>1446.72</v>
      </c>
      <c r="N95" s="3">
        <v>821.2</v>
      </c>
      <c r="O95" s="4">
        <v>0.36209390101943634</v>
      </c>
      <c r="P95" s="3">
        <v>165000</v>
      </c>
    </row>
    <row r="96" spans="1:16">
      <c r="A96" t="s">
        <v>148</v>
      </c>
      <c r="B96" s="2">
        <v>45905</v>
      </c>
      <c r="C96" t="s">
        <v>40</v>
      </c>
      <c r="D96" t="s">
        <v>46</v>
      </c>
      <c r="E96" t="s">
        <v>19</v>
      </c>
      <c r="F96" t="s">
        <v>50</v>
      </c>
      <c r="G96" t="s">
        <v>27</v>
      </c>
      <c r="H96" t="s">
        <v>55</v>
      </c>
      <c r="I96" s="5">
        <v>6</v>
      </c>
      <c r="J96" s="3">
        <v>676.61</v>
      </c>
      <c r="K96" s="3">
        <v>4059.66</v>
      </c>
      <c r="L96" s="3">
        <v>454.97</v>
      </c>
      <c r="M96" s="3">
        <v>2729.82</v>
      </c>
      <c r="N96" s="3">
        <v>1329.84</v>
      </c>
      <c r="O96" s="4">
        <v>0.32757423035426614</v>
      </c>
      <c r="P96" s="3">
        <v>165000</v>
      </c>
    </row>
    <row r="97" spans="1:16">
      <c r="A97" t="s">
        <v>149</v>
      </c>
      <c r="B97" s="2">
        <v>45780</v>
      </c>
      <c r="C97" t="s">
        <v>24</v>
      </c>
      <c r="D97" t="s">
        <v>30</v>
      </c>
      <c r="E97" t="s">
        <v>42</v>
      </c>
      <c r="F97" t="s">
        <v>20</v>
      </c>
      <c r="G97" t="s">
        <v>35</v>
      </c>
      <c r="H97" t="s">
        <v>36</v>
      </c>
      <c r="I97" s="5">
        <v>8</v>
      </c>
      <c r="J97" s="3">
        <v>36.93</v>
      </c>
      <c r="K97" s="3">
        <v>295.44</v>
      </c>
      <c r="L97" s="3">
        <v>18.739999999999998</v>
      </c>
      <c r="M97" s="3">
        <v>149.91999999999999</v>
      </c>
      <c r="N97" s="3">
        <v>145.52000000000001</v>
      </c>
      <c r="O97" s="4">
        <v>0.49255347955591666</v>
      </c>
      <c r="P97" s="3">
        <v>135000</v>
      </c>
    </row>
    <row r="98" spans="1:16">
      <c r="A98" t="s">
        <v>150</v>
      </c>
      <c r="B98" s="2">
        <v>45855</v>
      </c>
      <c r="C98" t="s">
        <v>33</v>
      </c>
      <c r="D98" t="s">
        <v>54</v>
      </c>
      <c r="E98" t="s">
        <v>42</v>
      </c>
      <c r="F98" t="s">
        <v>20</v>
      </c>
      <c r="G98" t="s">
        <v>35</v>
      </c>
      <c r="H98" t="s">
        <v>36</v>
      </c>
      <c r="I98" s="5">
        <v>2</v>
      </c>
      <c r="J98" s="3">
        <v>38.229999999999997</v>
      </c>
      <c r="K98" s="3">
        <v>76.459999999999994</v>
      </c>
      <c r="L98" s="3">
        <v>18.07</v>
      </c>
      <c r="M98" s="3">
        <v>36.14</v>
      </c>
      <c r="N98" s="3">
        <v>40.32</v>
      </c>
      <c r="O98" s="4">
        <v>0.52733455401517138</v>
      </c>
      <c r="P98" s="3">
        <v>155000</v>
      </c>
    </row>
    <row r="99" spans="1:16">
      <c r="A99" t="s">
        <v>151</v>
      </c>
      <c r="B99" s="2">
        <v>45927</v>
      </c>
      <c r="C99" t="s">
        <v>24</v>
      </c>
      <c r="D99" t="s">
        <v>25</v>
      </c>
      <c r="E99" t="s">
        <v>19</v>
      </c>
      <c r="F99" t="s">
        <v>20</v>
      </c>
      <c r="G99" t="s">
        <v>21</v>
      </c>
      <c r="H99" t="s">
        <v>22</v>
      </c>
      <c r="I99" s="5">
        <v>2</v>
      </c>
      <c r="J99" s="3">
        <v>28.09</v>
      </c>
      <c r="K99" s="3">
        <v>56.18</v>
      </c>
      <c r="L99" s="3">
        <v>15.85</v>
      </c>
      <c r="M99" s="3">
        <v>31.7</v>
      </c>
      <c r="N99" s="3">
        <v>24.48</v>
      </c>
      <c r="O99" s="4">
        <v>0.43574225703097191</v>
      </c>
      <c r="P99" s="3">
        <v>135000</v>
      </c>
    </row>
    <row r="100" spans="1:16">
      <c r="A100" t="s">
        <v>152</v>
      </c>
      <c r="B100" s="2">
        <v>45831</v>
      </c>
      <c r="C100" t="s">
        <v>24</v>
      </c>
      <c r="D100" t="s">
        <v>25</v>
      </c>
      <c r="E100" t="s">
        <v>42</v>
      </c>
      <c r="F100" t="s">
        <v>43</v>
      </c>
      <c r="G100" t="s">
        <v>27</v>
      </c>
      <c r="H100" t="s">
        <v>28</v>
      </c>
      <c r="I100" s="5">
        <v>7</v>
      </c>
      <c r="J100" s="3">
        <v>199.78</v>
      </c>
      <c r="K100" s="3">
        <v>1398.46</v>
      </c>
      <c r="L100" s="3">
        <v>117.61</v>
      </c>
      <c r="M100" s="3">
        <v>823.27</v>
      </c>
      <c r="N100" s="3">
        <v>575.19000000000005</v>
      </c>
      <c r="O100" s="4">
        <v>0.41130243267594357</v>
      </c>
      <c r="P100" s="3">
        <v>135000</v>
      </c>
    </row>
    <row r="101" spans="1:16">
      <c r="A101" t="s">
        <v>153</v>
      </c>
      <c r="B101" s="2">
        <v>45907</v>
      </c>
      <c r="C101" t="s">
        <v>17</v>
      </c>
      <c r="D101" t="s">
        <v>18</v>
      </c>
      <c r="E101" t="s">
        <v>26</v>
      </c>
      <c r="F101" t="s">
        <v>50</v>
      </c>
      <c r="G101" t="s">
        <v>35</v>
      </c>
      <c r="H101" t="s">
        <v>63</v>
      </c>
      <c r="I101" s="5">
        <v>4</v>
      </c>
      <c r="J101" s="3">
        <v>276.72000000000003</v>
      </c>
      <c r="K101" s="3">
        <v>1106.8800000000001</v>
      </c>
      <c r="L101" s="3">
        <v>180.61</v>
      </c>
      <c r="M101" s="3">
        <v>722.44</v>
      </c>
      <c r="N101" s="3">
        <v>384.44</v>
      </c>
      <c r="O101" s="4">
        <v>0.34731858918762643</v>
      </c>
      <c r="P101" s="3">
        <v>140000</v>
      </c>
    </row>
    <row r="102" spans="1:16">
      <c r="A102" t="s">
        <v>154</v>
      </c>
      <c r="B102" s="2">
        <v>45708</v>
      </c>
      <c r="C102" t="s">
        <v>17</v>
      </c>
      <c r="D102" t="s">
        <v>38</v>
      </c>
      <c r="E102" t="s">
        <v>26</v>
      </c>
      <c r="F102" t="s">
        <v>20</v>
      </c>
      <c r="G102" t="s">
        <v>21</v>
      </c>
      <c r="H102" t="s">
        <v>31</v>
      </c>
      <c r="I102" s="5">
        <v>1</v>
      </c>
      <c r="J102" s="3">
        <v>11.66</v>
      </c>
      <c r="K102" s="3">
        <v>11.66</v>
      </c>
      <c r="L102" s="3">
        <v>5.79</v>
      </c>
      <c r="M102" s="3">
        <v>5.79</v>
      </c>
      <c r="N102" s="3">
        <v>5.87</v>
      </c>
      <c r="O102" s="4">
        <v>0.50343053173241847</v>
      </c>
      <c r="P102" s="3">
        <v>140000</v>
      </c>
    </row>
    <row r="103" spans="1:16">
      <c r="A103" t="s">
        <v>155</v>
      </c>
      <c r="B103" s="2">
        <v>45841</v>
      </c>
      <c r="C103" t="s">
        <v>40</v>
      </c>
      <c r="D103" t="s">
        <v>57</v>
      </c>
      <c r="E103" t="s">
        <v>26</v>
      </c>
      <c r="F103" t="s">
        <v>50</v>
      </c>
      <c r="G103" t="s">
        <v>21</v>
      </c>
      <c r="H103" t="s">
        <v>22</v>
      </c>
      <c r="I103" s="5">
        <v>3</v>
      </c>
      <c r="J103" s="3">
        <v>26.28</v>
      </c>
      <c r="K103" s="3">
        <v>78.84</v>
      </c>
      <c r="L103" s="3">
        <v>15.31</v>
      </c>
      <c r="M103" s="3">
        <v>45.93</v>
      </c>
      <c r="N103" s="3">
        <v>32.909999999999997</v>
      </c>
      <c r="O103" s="4">
        <v>0.41742770167427695</v>
      </c>
      <c r="P103" s="3">
        <v>165000</v>
      </c>
    </row>
    <row r="104" spans="1:16">
      <c r="A104" t="s">
        <v>156</v>
      </c>
      <c r="B104" s="2">
        <v>45853</v>
      </c>
      <c r="C104" t="s">
        <v>33</v>
      </c>
      <c r="D104" t="s">
        <v>54</v>
      </c>
      <c r="E104" t="s">
        <v>42</v>
      </c>
      <c r="F104" t="s">
        <v>20</v>
      </c>
      <c r="G104" t="s">
        <v>27</v>
      </c>
      <c r="H104" t="s">
        <v>55</v>
      </c>
      <c r="I104" s="5">
        <v>5</v>
      </c>
      <c r="J104" s="3">
        <v>620.69000000000005</v>
      </c>
      <c r="K104" s="3">
        <v>3103.45</v>
      </c>
      <c r="L104" s="3">
        <v>441.47</v>
      </c>
      <c r="M104" s="3">
        <v>2207.35</v>
      </c>
      <c r="N104" s="3">
        <v>896.1</v>
      </c>
      <c r="O104" s="4">
        <v>0.28874317292045953</v>
      </c>
      <c r="P104" s="3">
        <v>155000</v>
      </c>
    </row>
    <row r="105" spans="1:16">
      <c r="A105" t="s">
        <v>157</v>
      </c>
      <c r="B105" s="2">
        <v>45896</v>
      </c>
      <c r="C105" t="s">
        <v>40</v>
      </c>
      <c r="D105" t="s">
        <v>65</v>
      </c>
      <c r="E105" t="s">
        <v>26</v>
      </c>
      <c r="F105" t="s">
        <v>43</v>
      </c>
      <c r="G105" t="s">
        <v>35</v>
      </c>
      <c r="H105" t="s">
        <v>63</v>
      </c>
      <c r="I105" s="5">
        <v>7</v>
      </c>
      <c r="J105" s="3">
        <v>273.49</v>
      </c>
      <c r="K105" s="3">
        <v>1914.43</v>
      </c>
      <c r="L105" s="3">
        <v>181.02</v>
      </c>
      <c r="M105" s="3">
        <v>1267.1400000000001</v>
      </c>
      <c r="N105" s="3">
        <v>647.29</v>
      </c>
      <c r="O105" s="4">
        <v>0.33811108267212692</v>
      </c>
      <c r="P105" s="3">
        <v>165000</v>
      </c>
    </row>
    <row r="106" spans="1:16">
      <c r="A106" t="s">
        <v>158</v>
      </c>
      <c r="B106" s="2">
        <v>45812</v>
      </c>
      <c r="C106" t="s">
        <v>33</v>
      </c>
      <c r="D106" t="s">
        <v>54</v>
      </c>
      <c r="E106" t="s">
        <v>42</v>
      </c>
      <c r="F106" t="s">
        <v>20</v>
      </c>
      <c r="G106" t="s">
        <v>27</v>
      </c>
      <c r="H106" t="s">
        <v>44</v>
      </c>
      <c r="I106" s="5">
        <v>6</v>
      </c>
      <c r="J106" s="3">
        <v>328.47</v>
      </c>
      <c r="K106" s="3">
        <v>1970.82</v>
      </c>
      <c r="L106" s="3">
        <v>222.45</v>
      </c>
      <c r="M106" s="3">
        <v>1334.7</v>
      </c>
      <c r="N106" s="3">
        <v>636.12</v>
      </c>
      <c r="O106" s="4">
        <v>0.32276920266691023</v>
      </c>
      <c r="P106" s="3">
        <v>155000</v>
      </c>
    </row>
    <row r="107" spans="1:16">
      <c r="A107" t="s">
        <v>159</v>
      </c>
      <c r="B107" s="2">
        <v>45809</v>
      </c>
      <c r="C107" t="s">
        <v>17</v>
      </c>
      <c r="D107" t="s">
        <v>38</v>
      </c>
      <c r="E107" t="s">
        <v>26</v>
      </c>
      <c r="F107" t="s">
        <v>50</v>
      </c>
      <c r="G107" t="s">
        <v>21</v>
      </c>
      <c r="H107" t="s">
        <v>31</v>
      </c>
      <c r="I107" s="5">
        <v>8</v>
      </c>
      <c r="J107" s="3">
        <v>13</v>
      </c>
      <c r="K107" s="3">
        <v>104</v>
      </c>
      <c r="L107" s="3">
        <v>6.3</v>
      </c>
      <c r="M107" s="3">
        <v>50.4</v>
      </c>
      <c r="N107" s="3">
        <v>53.6</v>
      </c>
      <c r="O107" s="4">
        <v>0.51538461538461544</v>
      </c>
      <c r="P107" s="3">
        <v>140000</v>
      </c>
    </row>
    <row r="108" spans="1:16">
      <c r="A108" t="s">
        <v>160</v>
      </c>
      <c r="B108" s="2">
        <v>45775</v>
      </c>
      <c r="C108" t="s">
        <v>40</v>
      </c>
      <c r="D108" t="s">
        <v>65</v>
      </c>
      <c r="E108" t="s">
        <v>19</v>
      </c>
      <c r="F108" t="s">
        <v>50</v>
      </c>
      <c r="G108" t="s">
        <v>21</v>
      </c>
      <c r="H108" t="s">
        <v>22</v>
      </c>
      <c r="I108" s="5">
        <v>2</v>
      </c>
      <c r="J108" s="3">
        <v>30.76</v>
      </c>
      <c r="K108" s="3">
        <v>61.52</v>
      </c>
      <c r="L108" s="3">
        <v>15.37</v>
      </c>
      <c r="M108" s="3">
        <v>30.74</v>
      </c>
      <c r="N108" s="3">
        <v>30.78</v>
      </c>
      <c r="O108" s="4">
        <v>0.5003250975292588</v>
      </c>
      <c r="P108" s="3">
        <v>165000</v>
      </c>
    </row>
    <row r="109" spans="1:16">
      <c r="A109" t="s">
        <v>161</v>
      </c>
      <c r="B109" s="2">
        <v>45816</v>
      </c>
      <c r="C109" t="s">
        <v>24</v>
      </c>
      <c r="D109" t="s">
        <v>25</v>
      </c>
      <c r="E109" t="s">
        <v>19</v>
      </c>
      <c r="F109" t="s">
        <v>50</v>
      </c>
      <c r="G109" t="s">
        <v>21</v>
      </c>
      <c r="H109" t="s">
        <v>47</v>
      </c>
      <c r="I109" s="5">
        <v>5</v>
      </c>
      <c r="J109" s="3">
        <v>40.82</v>
      </c>
      <c r="K109" s="3">
        <v>204.1</v>
      </c>
      <c r="L109" s="3">
        <v>24.04</v>
      </c>
      <c r="M109" s="3">
        <v>120.2</v>
      </c>
      <c r="N109" s="3">
        <v>83.9</v>
      </c>
      <c r="O109" s="4">
        <v>0.41107300342969139</v>
      </c>
      <c r="P109" s="3">
        <v>135000</v>
      </c>
    </row>
    <row r="110" spans="1:16">
      <c r="A110" t="s">
        <v>162</v>
      </c>
      <c r="B110" s="2">
        <v>45760</v>
      </c>
      <c r="C110" t="s">
        <v>33</v>
      </c>
      <c r="D110" t="s">
        <v>34</v>
      </c>
      <c r="E110" t="s">
        <v>19</v>
      </c>
      <c r="F110" t="s">
        <v>43</v>
      </c>
      <c r="G110" t="s">
        <v>21</v>
      </c>
      <c r="H110" t="s">
        <v>22</v>
      </c>
      <c r="I110" s="5">
        <v>5</v>
      </c>
      <c r="J110" s="3">
        <v>30.83</v>
      </c>
      <c r="K110" s="3">
        <v>154.15</v>
      </c>
      <c r="L110" s="3">
        <v>15.82</v>
      </c>
      <c r="M110" s="3">
        <v>79.099999999999994</v>
      </c>
      <c r="N110" s="3">
        <v>75.05</v>
      </c>
      <c r="O110" s="4">
        <v>0.48686344469672393</v>
      </c>
      <c r="P110" s="3">
        <v>155000</v>
      </c>
    </row>
    <row r="111" spans="1:16">
      <c r="A111" t="s">
        <v>163</v>
      </c>
      <c r="B111" s="2">
        <v>45809</v>
      </c>
      <c r="C111" t="s">
        <v>40</v>
      </c>
      <c r="D111" t="s">
        <v>41</v>
      </c>
      <c r="E111" t="s">
        <v>19</v>
      </c>
      <c r="F111" t="s">
        <v>20</v>
      </c>
      <c r="G111" t="s">
        <v>35</v>
      </c>
      <c r="H111" t="s">
        <v>58</v>
      </c>
      <c r="I111" s="5">
        <v>7</v>
      </c>
      <c r="J111" s="3">
        <v>1057.1600000000001</v>
      </c>
      <c r="K111" s="3">
        <v>7400.12</v>
      </c>
      <c r="L111" s="3">
        <v>749.13</v>
      </c>
      <c r="M111" s="3">
        <v>5243.91</v>
      </c>
      <c r="N111" s="3">
        <v>2156.21</v>
      </c>
      <c r="O111" s="4">
        <v>0.29137500472965305</v>
      </c>
      <c r="P111" s="3">
        <v>165000</v>
      </c>
    </row>
    <row r="112" spans="1:16">
      <c r="A112" t="s">
        <v>164</v>
      </c>
      <c r="B112" s="2">
        <v>45845</v>
      </c>
      <c r="C112" t="s">
        <v>17</v>
      </c>
      <c r="D112" t="s">
        <v>38</v>
      </c>
      <c r="E112" t="s">
        <v>26</v>
      </c>
      <c r="F112" t="s">
        <v>50</v>
      </c>
      <c r="G112" t="s">
        <v>27</v>
      </c>
      <c r="H112" t="s">
        <v>55</v>
      </c>
      <c r="I112" s="5">
        <v>6</v>
      </c>
      <c r="J112" s="3">
        <v>649.77</v>
      </c>
      <c r="K112" s="3">
        <v>3898.62</v>
      </c>
      <c r="L112" s="3">
        <v>441.71</v>
      </c>
      <c r="M112" s="3">
        <v>2650.26</v>
      </c>
      <c r="N112" s="3">
        <v>1248.3599999999999</v>
      </c>
      <c r="O112" s="4">
        <v>0.3202056112162765</v>
      </c>
      <c r="P112" s="3">
        <v>140000</v>
      </c>
    </row>
    <row r="113" spans="1:16">
      <c r="A113" t="s">
        <v>165</v>
      </c>
      <c r="B113" s="2">
        <v>45957</v>
      </c>
      <c r="C113" t="s">
        <v>24</v>
      </c>
      <c r="D113" t="s">
        <v>49</v>
      </c>
      <c r="E113" t="s">
        <v>26</v>
      </c>
      <c r="F113" t="s">
        <v>20</v>
      </c>
      <c r="G113" t="s">
        <v>21</v>
      </c>
      <c r="H113" t="s">
        <v>31</v>
      </c>
      <c r="I113" s="5">
        <v>6</v>
      </c>
      <c r="J113" s="3">
        <v>13.22</v>
      </c>
      <c r="K113" s="3">
        <v>79.319999999999993</v>
      </c>
      <c r="L113" s="3">
        <v>5.89</v>
      </c>
      <c r="M113" s="3">
        <v>35.340000000000003</v>
      </c>
      <c r="N113" s="3">
        <v>43.98</v>
      </c>
      <c r="O113" s="4">
        <v>0.5544629349470499</v>
      </c>
      <c r="P113" s="3">
        <v>135000</v>
      </c>
    </row>
    <row r="114" spans="1:16">
      <c r="A114" t="s">
        <v>166</v>
      </c>
      <c r="B114" s="2">
        <v>45690</v>
      </c>
      <c r="C114" t="s">
        <v>24</v>
      </c>
      <c r="D114" t="s">
        <v>49</v>
      </c>
      <c r="E114" t="s">
        <v>19</v>
      </c>
      <c r="F114" t="s">
        <v>20</v>
      </c>
      <c r="G114" t="s">
        <v>21</v>
      </c>
      <c r="H114" t="s">
        <v>31</v>
      </c>
      <c r="I114" s="5">
        <v>1</v>
      </c>
      <c r="J114" s="3">
        <v>11.6</v>
      </c>
      <c r="K114" s="3">
        <v>11.6</v>
      </c>
      <c r="L114" s="3">
        <v>6.06</v>
      </c>
      <c r="M114" s="3">
        <v>6.06</v>
      </c>
      <c r="N114" s="3">
        <v>5.54</v>
      </c>
      <c r="O114" s="4">
        <v>0.47758620689655173</v>
      </c>
      <c r="P114" s="3">
        <v>135000</v>
      </c>
    </row>
    <row r="115" spans="1:16">
      <c r="A115" t="s">
        <v>167</v>
      </c>
      <c r="B115" s="2">
        <v>45707</v>
      </c>
      <c r="C115" t="s">
        <v>33</v>
      </c>
      <c r="D115" t="s">
        <v>68</v>
      </c>
      <c r="E115" t="s">
        <v>26</v>
      </c>
      <c r="F115" t="s">
        <v>20</v>
      </c>
      <c r="G115" t="s">
        <v>27</v>
      </c>
      <c r="H115" t="s">
        <v>28</v>
      </c>
      <c r="I115" s="5">
        <v>7</v>
      </c>
      <c r="J115" s="3">
        <v>185.26</v>
      </c>
      <c r="K115" s="3">
        <v>1296.82</v>
      </c>
      <c r="L115" s="3">
        <v>118.76</v>
      </c>
      <c r="M115" s="3">
        <v>831.32</v>
      </c>
      <c r="N115" s="3">
        <v>465.5</v>
      </c>
      <c r="O115" s="4">
        <v>0.3589549821871964</v>
      </c>
      <c r="P115" s="3">
        <v>155000</v>
      </c>
    </row>
    <row r="116" spans="1:16">
      <c r="A116" t="s">
        <v>168</v>
      </c>
      <c r="B116" s="2">
        <v>45870</v>
      </c>
      <c r="C116" t="s">
        <v>17</v>
      </c>
      <c r="D116" t="s">
        <v>38</v>
      </c>
      <c r="E116" t="s">
        <v>19</v>
      </c>
      <c r="F116" t="s">
        <v>43</v>
      </c>
      <c r="G116" t="s">
        <v>35</v>
      </c>
      <c r="H116" t="s">
        <v>63</v>
      </c>
      <c r="I116" s="5">
        <v>1</v>
      </c>
      <c r="J116" s="3">
        <v>273.48</v>
      </c>
      <c r="K116" s="3">
        <v>273.48</v>
      </c>
      <c r="L116" s="3">
        <v>176.71</v>
      </c>
      <c r="M116" s="3">
        <v>176.71</v>
      </c>
      <c r="N116" s="3">
        <v>96.77</v>
      </c>
      <c r="O116" s="4">
        <v>0.35384671639608012</v>
      </c>
      <c r="P116" s="3">
        <v>140000</v>
      </c>
    </row>
    <row r="117" spans="1:16">
      <c r="A117" t="s">
        <v>169</v>
      </c>
      <c r="B117" s="2">
        <v>45885</v>
      </c>
      <c r="C117" t="s">
        <v>33</v>
      </c>
      <c r="D117" t="s">
        <v>34</v>
      </c>
      <c r="E117" t="s">
        <v>26</v>
      </c>
      <c r="F117" t="s">
        <v>50</v>
      </c>
      <c r="G117" t="s">
        <v>27</v>
      </c>
      <c r="H117" t="s">
        <v>28</v>
      </c>
      <c r="I117" s="5">
        <v>6</v>
      </c>
      <c r="J117" s="3">
        <v>164.4</v>
      </c>
      <c r="K117" s="3">
        <v>986.4</v>
      </c>
      <c r="L117" s="3">
        <v>113.57</v>
      </c>
      <c r="M117" s="3">
        <v>681.42</v>
      </c>
      <c r="N117" s="3">
        <v>304.98</v>
      </c>
      <c r="O117" s="4">
        <v>0.30918491484184918</v>
      </c>
      <c r="P117" s="3">
        <v>155000</v>
      </c>
    </row>
    <row r="118" spans="1:16">
      <c r="A118" t="s">
        <v>170</v>
      </c>
      <c r="B118" s="2">
        <v>45720</v>
      </c>
      <c r="C118" t="s">
        <v>24</v>
      </c>
      <c r="D118" t="s">
        <v>25</v>
      </c>
      <c r="E118" t="s">
        <v>19</v>
      </c>
      <c r="F118" t="s">
        <v>50</v>
      </c>
      <c r="G118" t="s">
        <v>21</v>
      </c>
      <c r="H118" t="s">
        <v>31</v>
      </c>
      <c r="I118" s="5">
        <v>1</v>
      </c>
      <c r="J118" s="3">
        <v>12.88</v>
      </c>
      <c r="K118" s="3">
        <v>12.88</v>
      </c>
      <c r="L118" s="3">
        <v>5.91</v>
      </c>
      <c r="M118" s="3">
        <v>5.91</v>
      </c>
      <c r="N118" s="3">
        <v>6.97</v>
      </c>
      <c r="O118" s="4">
        <v>0.54114906832298126</v>
      </c>
      <c r="P118" s="3">
        <v>135000</v>
      </c>
    </row>
    <row r="119" spans="1:16">
      <c r="A119" t="s">
        <v>171</v>
      </c>
      <c r="B119" s="2">
        <v>45722</v>
      </c>
      <c r="C119" t="s">
        <v>33</v>
      </c>
      <c r="D119" t="s">
        <v>52</v>
      </c>
      <c r="E119" t="s">
        <v>42</v>
      </c>
      <c r="F119" t="s">
        <v>50</v>
      </c>
      <c r="G119" t="s">
        <v>35</v>
      </c>
      <c r="H119" t="s">
        <v>58</v>
      </c>
      <c r="I119" s="5">
        <v>4</v>
      </c>
      <c r="J119" s="3">
        <v>923.67</v>
      </c>
      <c r="K119" s="3">
        <v>3694.68</v>
      </c>
      <c r="L119" s="3">
        <v>701.82</v>
      </c>
      <c r="M119" s="3">
        <v>2807.28</v>
      </c>
      <c r="N119" s="3">
        <v>887.4</v>
      </c>
      <c r="O119" s="4">
        <v>0.24018318230536881</v>
      </c>
      <c r="P119" s="3">
        <v>155000</v>
      </c>
    </row>
    <row r="120" spans="1:16">
      <c r="A120" t="s">
        <v>172</v>
      </c>
      <c r="B120" s="2">
        <v>45963</v>
      </c>
      <c r="C120" t="s">
        <v>17</v>
      </c>
      <c r="D120" t="s">
        <v>80</v>
      </c>
      <c r="E120" t="s">
        <v>42</v>
      </c>
      <c r="F120" t="s">
        <v>20</v>
      </c>
      <c r="G120" t="s">
        <v>21</v>
      </c>
      <c r="H120" t="s">
        <v>22</v>
      </c>
      <c r="I120" s="5">
        <v>5</v>
      </c>
      <c r="J120" s="3">
        <v>30.12</v>
      </c>
      <c r="K120" s="3">
        <v>150.6</v>
      </c>
      <c r="L120" s="3">
        <v>14.56</v>
      </c>
      <c r="M120" s="3">
        <v>72.8</v>
      </c>
      <c r="N120" s="3">
        <v>77.8</v>
      </c>
      <c r="O120" s="4">
        <v>0.51660026560424965</v>
      </c>
      <c r="P120" s="3">
        <v>140000</v>
      </c>
    </row>
    <row r="121" spans="1:16">
      <c r="A121" t="s">
        <v>173</v>
      </c>
      <c r="B121" s="2">
        <v>45671</v>
      </c>
      <c r="C121" t="s">
        <v>33</v>
      </c>
      <c r="D121" t="s">
        <v>52</v>
      </c>
      <c r="E121" t="s">
        <v>26</v>
      </c>
      <c r="F121" t="s">
        <v>50</v>
      </c>
      <c r="G121" t="s">
        <v>35</v>
      </c>
      <c r="H121" t="s">
        <v>36</v>
      </c>
      <c r="I121" s="5">
        <v>1</v>
      </c>
      <c r="J121" s="3">
        <v>32.840000000000003</v>
      </c>
      <c r="K121" s="3">
        <v>32.840000000000003</v>
      </c>
      <c r="L121" s="3">
        <v>17.37</v>
      </c>
      <c r="M121" s="3">
        <v>17.37</v>
      </c>
      <c r="N121" s="3">
        <v>15.47</v>
      </c>
      <c r="O121" s="4">
        <v>0.47107186358099873</v>
      </c>
      <c r="P121" s="3">
        <v>155000</v>
      </c>
    </row>
    <row r="122" spans="1:16">
      <c r="A122" t="s">
        <v>174</v>
      </c>
      <c r="B122" s="2">
        <v>45873</v>
      </c>
      <c r="C122" t="s">
        <v>17</v>
      </c>
      <c r="D122" t="s">
        <v>18</v>
      </c>
      <c r="E122" t="s">
        <v>19</v>
      </c>
      <c r="F122" t="s">
        <v>50</v>
      </c>
      <c r="G122" t="s">
        <v>27</v>
      </c>
      <c r="H122" t="s">
        <v>28</v>
      </c>
      <c r="I122" s="5">
        <v>2</v>
      </c>
      <c r="J122" s="3">
        <v>179.9</v>
      </c>
      <c r="K122" s="3">
        <v>359.8</v>
      </c>
      <c r="L122" s="3">
        <v>112.95</v>
      </c>
      <c r="M122" s="3">
        <v>225.9</v>
      </c>
      <c r="N122" s="3">
        <v>133.9</v>
      </c>
      <c r="O122" s="4">
        <v>0.37215119510839356</v>
      </c>
      <c r="P122" s="3">
        <v>140000</v>
      </c>
    </row>
    <row r="123" spans="1:16">
      <c r="A123" t="s">
        <v>175</v>
      </c>
      <c r="B123" s="2">
        <v>45972</v>
      </c>
      <c r="C123" t="s">
        <v>17</v>
      </c>
      <c r="D123" t="s">
        <v>80</v>
      </c>
      <c r="E123" t="s">
        <v>19</v>
      </c>
      <c r="F123" t="s">
        <v>43</v>
      </c>
      <c r="G123" t="s">
        <v>21</v>
      </c>
      <c r="H123" t="s">
        <v>31</v>
      </c>
      <c r="I123" s="5">
        <v>8</v>
      </c>
      <c r="J123" s="3">
        <v>13.04</v>
      </c>
      <c r="K123" s="3">
        <v>104.32</v>
      </c>
      <c r="L123" s="3">
        <v>6.02</v>
      </c>
      <c r="M123" s="3">
        <v>48.16</v>
      </c>
      <c r="N123" s="3">
        <v>56.16</v>
      </c>
      <c r="O123" s="4">
        <v>0.53834355828220859</v>
      </c>
      <c r="P123" s="3">
        <v>140000</v>
      </c>
    </row>
    <row r="124" spans="1:16">
      <c r="A124" t="s">
        <v>176</v>
      </c>
      <c r="B124" s="2">
        <v>45713</v>
      </c>
      <c r="C124" t="s">
        <v>24</v>
      </c>
      <c r="D124" t="s">
        <v>74</v>
      </c>
      <c r="E124" t="s">
        <v>26</v>
      </c>
      <c r="F124" t="s">
        <v>20</v>
      </c>
      <c r="G124" t="s">
        <v>21</v>
      </c>
      <c r="H124" t="s">
        <v>22</v>
      </c>
      <c r="I124" s="5">
        <v>2</v>
      </c>
      <c r="J124" s="3">
        <v>25.98</v>
      </c>
      <c r="K124" s="3">
        <v>51.96</v>
      </c>
      <c r="L124" s="3">
        <v>15.34</v>
      </c>
      <c r="M124" s="3">
        <v>30.68</v>
      </c>
      <c r="N124" s="3">
        <v>21.28</v>
      </c>
      <c r="O124" s="4">
        <v>0.40954580446497307</v>
      </c>
      <c r="P124" s="3">
        <v>135000</v>
      </c>
    </row>
    <row r="125" spans="1:16">
      <c r="A125" t="s">
        <v>177</v>
      </c>
      <c r="B125" s="2">
        <v>45957</v>
      </c>
      <c r="C125" t="s">
        <v>40</v>
      </c>
      <c r="D125" t="s">
        <v>57</v>
      </c>
      <c r="E125" t="s">
        <v>42</v>
      </c>
      <c r="F125" t="s">
        <v>50</v>
      </c>
      <c r="G125" t="s">
        <v>27</v>
      </c>
      <c r="H125" t="s">
        <v>55</v>
      </c>
      <c r="I125" s="5">
        <v>7</v>
      </c>
      <c r="J125" s="3">
        <v>571.53</v>
      </c>
      <c r="K125" s="3">
        <v>4000.71</v>
      </c>
      <c r="L125" s="3">
        <v>442.98</v>
      </c>
      <c r="M125" s="3">
        <v>3100.86</v>
      </c>
      <c r="N125" s="3">
        <v>899.85</v>
      </c>
      <c r="O125" s="4">
        <v>0.22492257624271692</v>
      </c>
      <c r="P125" s="3">
        <v>165000</v>
      </c>
    </row>
    <row r="126" spans="1:16">
      <c r="A126" t="s">
        <v>178</v>
      </c>
      <c r="B126" s="2">
        <v>45993</v>
      </c>
      <c r="C126" t="s">
        <v>33</v>
      </c>
      <c r="D126" t="s">
        <v>54</v>
      </c>
      <c r="E126" t="s">
        <v>19</v>
      </c>
      <c r="F126" t="s">
        <v>20</v>
      </c>
      <c r="G126" t="s">
        <v>35</v>
      </c>
      <c r="H126" t="s">
        <v>36</v>
      </c>
      <c r="I126" s="5">
        <v>8</v>
      </c>
      <c r="J126" s="3">
        <v>34.57</v>
      </c>
      <c r="K126" s="3">
        <v>276.56</v>
      </c>
      <c r="L126" s="3">
        <v>18.59</v>
      </c>
      <c r="M126" s="3">
        <v>148.72</v>
      </c>
      <c r="N126" s="3">
        <v>127.84</v>
      </c>
      <c r="O126" s="4">
        <v>0.46225050621926528</v>
      </c>
      <c r="P126" s="3">
        <v>155000</v>
      </c>
    </row>
    <row r="127" spans="1:16">
      <c r="A127" t="s">
        <v>179</v>
      </c>
      <c r="B127" s="2">
        <v>45818</v>
      </c>
      <c r="C127" t="s">
        <v>24</v>
      </c>
      <c r="D127" t="s">
        <v>49</v>
      </c>
      <c r="E127" t="s">
        <v>19</v>
      </c>
      <c r="F127" t="s">
        <v>20</v>
      </c>
      <c r="G127" t="s">
        <v>21</v>
      </c>
      <c r="H127" t="s">
        <v>22</v>
      </c>
      <c r="I127" s="5">
        <v>8</v>
      </c>
      <c r="J127" s="3">
        <v>25.61</v>
      </c>
      <c r="K127" s="3">
        <v>204.88</v>
      </c>
      <c r="L127" s="3">
        <v>15.65</v>
      </c>
      <c r="M127" s="3">
        <v>125.2</v>
      </c>
      <c r="N127" s="3">
        <v>79.680000000000007</v>
      </c>
      <c r="O127" s="4">
        <v>0.38891058180398286</v>
      </c>
      <c r="P127" s="3">
        <v>135000</v>
      </c>
    </row>
    <row r="128" spans="1:16">
      <c r="A128" t="s">
        <v>180</v>
      </c>
      <c r="B128" s="2">
        <v>45705</v>
      </c>
      <c r="C128" t="s">
        <v>24</v>
      </c>
      <c r="D128" t="s">
        <v>25</v>
      </c>
      <c r="E128" t="s">
        <v>19</v>
      </c>
      <c r="F128" t="s">
        <v>20</v>
      </c>
      <c r="G128" t="s">
        <v>21</v>
      </c>
      <c r="H128" t="s">
        <v>22</v>
      </c>
      <c r="I128" s="5">
        <v>1</v>
      </c>
      <c r="J128" s="3">
        <v>28.81</v>
      </c>
      <c r="K128" s="3">
        <v>28.81</v>
      </c>
      <c r="L128" s="3">
        <v>15.24</v>
      </c>
      <c r="M128" s="3">
        <v>15.24</v>
      </c>
      <c r="N128" s="3">
        <v>13.57</v>
      </c>
      <c r="O128" s="4">
        <v>0.47101700798333918</v>
      </c>
      <c r="P128" s="3">
        <v>135000</v>
      </c>
    </row>
    <row r="129" spans="1:16">
      <c r="A129" t="s">
        <v>181</v>
      </c>
      <c r="B129" s="2">
        <v>45826</v>
      </c>
      <c r="C129" t="s">
        <v>17</v>
      </c>
      <c r="D129" t="s">
        <v>38</v>
      </c>
      <c r="E129" t="s">
        <v>26</v>
      </c>
      <c r="F129" t="s">
        <v>50</v>
      </c>
      <c r="G129" t="s">
        <v>27</v>
      </c>
      <c r="H129" t="s">
        <v>44</v>
      </c>
      <c r="I129" s="5">
        <v>1</v>
      </c>
      <c r="J129" s="3">
        <v>356.18</v>
      </c>
      <c r="K129" s="3">
        <v>356.18</v>
      </c>
      <c r="L129" s="3">
        <v>214.21</v>
      </c>
      <c r="M129" s="3">
        <v>214.21</v>
      </c>
      <c r="N129" s="3">
        <v>141.97</v>
      </c>
      <c r="O129" s="4">
        <v>0.39859060025829635</v>
      </c>
      <c r="P129" s="3">
        <v>140000</v>
      </c>
    </row>
    <row r="130" spans="1:16">
      <c r="A130" t="s">
        <v>182</v>
      </c>
      <c r="B130" s="2">
        <v>45838</v>
      </c>
      <c r="C130" t="s">
        <v>17</v>
      </c>
      <c r="D130" t="s">
        <v>60</v>
      </c>
      <c r="E130" t="s">
        <v>26</v>
      </c>
      <c r="F130" t="s">
        <v>50</v>
      </c>
      <c r="G130" t="s">
        <v>21</v>
      </c>
      <c r="H130" t="s">
        <v>47</v>
      </c>
      <c r="I130" s="5">
        <v>6</v>
      </c>
      <c r="J130" s="3">
        <v>45.61</v>
      </c>
      <c r="K130" s="3">
        <v>273.66000000000003</v>
      </c>
      <c r="L130" s="3">
        <v>23.92</v>
      </c>
      <c r="M130" s="3">
        <v>143.52000000000001</v>
      </c>
      <c r="N130" s="3">
        <v>130.13999999999999</v>
      </c>
      <c r="O130" s="4">
        <v>0.47555360666520491</v>
      </c>
      <c r="P130" s="3">
        <v>140000</v>
      </c>
    </row>
    <row r="131" spans="1:16">
      <c r="A131" t="s">
        <v>183</v>
      </c>
      <c r="B131" s="2">
        <v>45800</v>
      </c>
      <c r="C131" t="s">
        <v>33</v>
      </c>
      <c r="D131" t="s">
        <v>54</v>
      </c>
      <c r="E131" t="s">
        <v>42</v>
      </c>
      <c r="F131" t="s">
        <v>43</v>
      </c>
      <c r="G131" t="s">
        <v>27</v>
      </c>
      <c r="H131" t="s">
        <v>28</v>
      </c>
      <c r="I131" s="5">
        <v>1</v>
      </c>
      <c r="J131" s="3">
        <v>186.12</v>
      </c>
      <c r="K131" s="3">
        <v>186.12</v>
      </c>
      <c r="L131" s="3">
        <v>117.97</v>
      </c>
      <c r="M131" s="3">
        <v>117.97</v>
      </c>
      <c r="N131" s="3">
        <v>68.150000000000006</v>
      </c>
      <c r="O131" s="4">
        <v>0.36616161616161619</v>
      </c>
      <c r="P131" s="3">
        <v>155000</v>
      </c>
    </row>
    <row r="132" spans="1:16">
      <c r="A132" t="s">
        <v>184</v>
      </c>
      <c r="B132" s="2">
        <v>46013</v>
      </c>
      <c r="C132" t="s">
        <v>40</v>
      </c>
      <c r="D132" t="s">
        <v>41</v>
      </c>
      <c r="E132" t="s">
        <v>26</v>
      </c>
      <c r="F132" t="s">
        <v>50</v>
      </c>
      <c r="G132" t="s">
        <v>35</v>
      </c>
      <c r="H132" t="s">
        <v>63</v>
      </c>
      <c r="I132" s="5">
        <v>6</v>
      </c>
      <c r="J132" s="3">
        <v>254.08</v>
      </c>
      <c r="K132" s="3">
        <v>1524.48</v>
      </c>
      <c r="L132" s="3">
        <v>176.07</v>
      </c>
      <c r="M132" s="3">
        <v>1056.42</v>
      </c>
      <c r="N132" s="3">
        <v>468.06</v>
      </c>
      <c r="O132" s="4">
        <v>0.307029282115869</v>
      </c>
      <c r="P132" s="3">
        <v>165000</v>
      </c>
    </row>
    <row r="133" spans="1:16">
      <c r="A133" t="s">
        <v>185</v>
      </c>
      <c r="B133" s="2">
        <v>45731</v>
      </c>
      <c r="C133" t="s">
        <v>24</v>
      </c>
      <c r="D133" t="s">
        <v>25</v>
      </c>
      <c r="E133" t="s">
        <v>26</v>
      </c>
      <c r="F133" t="s">
        <v>50</v>
      </c>
      <c r="G133" t="s">
        <v>21</v>
      </c>
      <c r="H133" t="s">
        <v>31</v>
      </c>
      <c r="I133" s="5">
        <v>2</v>
      </c>
      <c r="J133" s="3">
        <v>12.77</v>
      </c>
      <c r="K133" s="3">
        <v>25.54</v>
      </c>
      <c r="L133" s="3">
        <v>5.89</v>
      </c>
      <c r="M133" s="3">
        <v>11.78</v>
      </c>
      <c r="N133" s="3">
        <v>13.76</v>
      </c>
      <c r="O133" s="4">
        <v>0.53876272513703993</v>
      </c>
      <c r="P133" s="3">
        <v>135000</v>
      </c>
    </row>
    <row r="134" spans="1:16">
      <c r="A134" t="s">
        <v>186</v>
      </c>
      <c r="B134" s="2">
        <v>45872</v>
      </c>
      <c r="C134" t="s">
        <v>24</v>
      </c>
      <c r="D134" t="s">
        <v>49</v>
      </c>
      <c r="E134" t="s">
        <v>26</v>
      </c>
      <c r="F134" t="s">
        <v>20</v>
      </c>
      <c r="G134" t="s">
        <v>35</v>
      </c>
      <c r="H134" t="s">
        <v>36</v>
      </c>
      <c r="I134" s="5">
        <v>2</v>
      </c>
      <c r="J134" s="3">
        <v>38.299999999999997</v>
      </c>
      <c r="K134" s="3">
        <v>76.599999999999994</v>
      </c>
      <c r="L134" s="3">
        <v>17.559999999999999</v>
      </c>
      <c r="M134" s="3">
        <v>35.119999999999997</v>
      </c>
      <c r="N134" s="3">
        <v>41.48</v>
      </c>
      <c r="O134" s="4">
        <v>0.5415143603133159</v>
      </c>
      <c r="P134" s="3">
        <v>135000</v>
      </c>
    </row>
    <row r="135" spans="1:16">
      <c r="A135" t="s">
        <v>187</v>
      </c>
      <c r="B135" s="2">
        <v>45974</v>
      </c>
      <c r="C135" t="s">
        <v>17</v>
      </c>
      <c r="D135" t="s">
        <v>18</v>
      </c>
      <c r="E135" t="s">
        <v>26</v>
      </c>
      <c r="F135" t="s">
        <v>50</v>
      </c>
      <c r="G135" t="s">
        <v>27</v>
      </c>
      <c r="H135" t="s">
        <v>55</v>
      </c>
      <c r="I135" s="5">
        <v>8</v>
      </c>
      <c r="J135" s="3">
        <v>614.49</v>
      </c>
      <c r="K135" s="3">
        <v>4915.92</v>
      </c>
      <c r="L135" s="3">
        <v>422.07</v>
      </c>
      <c r="M135" s="3">
        <v>3376.56</v>
      </c>
      <c r="N135" s="3">
        <v>1539.36</v>
      </c>
      <c r="O135" s="4">
        <v>0.31313772396621586</v>
      </c>
      <c r="P135" s="3">
        <v>140000</v>
      </c>
    </row>
    <row r="136" spans="1:16">
      <c r="A136" t="s">
        <v>188</v>
      </c>
      <c r="B136" s="2">
        <v>45920</v>
      </c>
      <c r="C136" t="s">
        <v>17</v>
      </c>
      <c r="D136" t="s">
        <v>80</v>
      </c>
      <c r="E136" t="s">
        <v>26</v>
      </c>
      <c r="F136" t="s">
        <v>20</v>
      </c>
      <c r="G136" t="s">
        <v>27</v>
      </c>
      <c r="H136" t="s">
        <v>55</v>
      </c>
      <c r="I136" s="5">
        <v>5</v>
      </c>
      <c r="J136" s="3">
        <v>564.19000000000005</v>
      </c>
      <c r="K136" s="3">
        <v>2820.95</v>
      </c>
      <c r="L136" s="3">
        <v>429.8</v>
      </c>
      <c r="M136" s="3">
        <v>2149</v>
      </c>
      <c r="N136" s="3">
        <v>671.95</v>
      </c>
      <c r="O136" s="4">
        <v>0.23819989719775256</v>
      </c>
      <c r="P136" s="3">
        <v>140000</v>
      </c>
    </row>
    <row r="137" spans="1:16">
      <c r="A137" t="s">
        <v>189</v>
      </c>
      <c r="B137" s="2">
        <v>45964</v>
      </c>
      <c r="C137" t="s">
        <v>17</v>
      </c>
      <c r="D137" t="s">
        <v>18</v>
      </c>
      <c r="E137" t="s">
        <v>26</v>
      </c>
      <c r="F137" t="s">
        <v>43</v>
      </c>
      <c r="G137" t="s">
        <v>21</v>
      </c>
      <c r="H137" t="s">
        <v>22</v>
      </c>
      <c r="I137" s="5">
        <v>5</v>
      </c>
      <c r="J137" s="3">
        <v>26.98</v>
      </c>
      <c r="K137" s="3">
        <v>134.9</v>
      </c>
      <c r="L137" s="3">
        <v>14.58</v>
      </c>
      <c r="M137" s="3">
        <v>72.900000000000006</v>
      </c>
      <c r="N137" s="3">
        <v>62</v>
      </c>
      <c r="O137" s="4">
        <v>0.45959970348406226</v>
      </c>
      <c r="P137" s="3">
        <v>140000</v>
      </c>
    </row>
    <row r="138" spans="1:16">
      <c r="A138" t="s">
        <v>190</v>
      </c>
      <c r="B138" s="2">
        <v>45912</v>
      </c>
      <c r="C138" t="s">
        <v>24</v>
      </c>
      <c r="D138" t="s">
        <v>30</v>
      </c>
      <c r="E138" t="s">
        <v>26</v>
      </c>
      <c r="F138" t="s">
        <v>50</v>
      </c>
      <c r="G138" t="s">
        <v>35</v>
      </c>
      <c r="H138" t="s">
        <v>58</v>
      </c>
      <c r="I138" s="5">
        <v>6</v>
      </c>
      <c r="J138" s="3">
        <v>870.06</v>
      </c>
      <c r="K138" s="3">
        <v>5220.3599999999997</v>
      </c>
      <c r="L138" s="3">
        <v>753.25</v>
      </c>
      <c r="M138" s="3">
        <v>4519.5</v>
      </c>
      <c r="N138" s="3">
        <v>700.86</v>
      </c>
      <c r="O138" s="4">
        <v>0.13425510884306829</v>
      </c>
      <c r="P138" s="3">
        <v>135000</v>
      </c>
    </row>
    <row r="139" spans="1:16">
      <c r="A139" t="s">
        <v>191</v>
      </c>
      <c r="B139" s="2">
        <v>45679</v>
      </c>
      <c r="C139" t="s">
        <v>24</v>
      </c>
      <c r="D139" t="s">
        <v>25</v>
      </c>
      <c r="E139" t="s">
        <v>19</v>
      </c>
      <c r="F139" t="s">
        <v>20</v>
      </c>
      <c r="G139" t="s">
        <v>35</v>
      </c>
      <c r="H139" t="s">
        <v>36</v>
      </c>
      <c r="I139" s="5">
        <v>7</v>
      </c>
      <c r="J139" s="3">
        <v>35.92</v>
      </c>
      <c r="K139" s="3">
        <v>251.44</v>
      </c>
      <c r="L139" s="3">
        <v>18.559999999999999</v>
      </c>
      <c r="M139" s="3">
        <v>129.91999999999999</v>
      </c>
      <c r="N139" s="3">
        <v>121.52</v>
      </c>
      <c r="O139" s="4">
        <v>0.48329621380846322</v>
      </c>
      <c r="P139" s="3">
        <v>135000</v>
      </c>
    </row>
    <row r="140" spans="1:16">
      <c r="A140" t="s">
        <v>192</v>
      </c>
      <c r="B140" s="2">
        <v>45871</v>
      </c>
      <c r="C140" t="s">
        <v>40</v>
      </c>
      <c r="D140" t="s">
        <v>41</v>
      </c>
      <c r="E140" t="s">
        <v>26</v>
      </c>
      <c r="F140" t="s">
        <v>43</v>
      </c>
      <c r="G140" t="s">
        <v>21</v>
      </c>
      <c r="H140" t="s">
        <v>22</v>
      </c>
      <c r="I140" s="5">
        <v>8</v>
      </c>
      <c r="J140" s="3">
        <v>30.33</v>
      </c>
      <c r="K140" s="3">
        <v>242.64</v>
      </c>
      <c r="L140" s="3">
        <v>15.78</v>
      </c>
      <c r="M140" s="3">
        <v>126.24</v>
      </c>
      <c r="N140" s="3">
        <v>116.4</v>
      </c>
      <c r="O140" s="4">
        <v>0.47972304648862518</v>
      </c>
      <c r="P140" s="3">
        <v>165000</v>
      </c>
    </row>
    <row r="141" spans="1:16">
      <c r="A141" t="s">
        <v>193</v>
      </c>
      <c r="B141" s="2">
        <v>45703</v>
      </c>
      <c r="C141" t="s">
        <v>24</v>
      </c>
      <c r="D141" t="s">
        <v>25</v>
      </c>
      <c r="E141" t="s">
        <v>26</v>
      </c>
      <c r="F141" t="s">
        <v>50</v>
      </c>
      <c r="G141" t="s">
        <v>27</v>
      </c>
      <c r="H141" t="s">
        <v>28</v>
      </c>
      <c r="I141" s="5">
        <v>2</v>
      </c>
      <c r="J141" s="3">
        <v>177.67</v>
      </c>
      <c r="K141" s="3">
        <v>355.34</v>
      </c>
      <c r="L141" s="3">
        <v>113.97</v>
      </c>
      <c r="M141" s="3">
        <v>227.94</v>
      </c>
      <c r="N141" s="3">
        <v>127.4</v>
      </c>
      <c r="O141" s="4">
        <v>0.35852985872685322</v>
      </c>
      <c r="P141" s="3">
        <v>135000</v>
      </c>
    </row>
    <row r="142" spans="1:16">
      <c r="A142" t="s">
        <v>194</v>
      </c>
      <c r="B142" s="2">
        <v>45831</v>
      </c>
      <c r="C142" t="s">
        <v>33</v>
      </c>
      <c r="D142" t="s">
        <v>34</v>
      </c>
      <c r="E142" t="s">
        <v>42</v>
      </c>
      <c r="F142" t="s">
        <v>20</v>
      </c>
      <c r="G142" t="s">
        <v>21</v>
      </c>
      <c r="H142" t="s">
        <v>47</v>
      </c>
      <c r="I142" s="5">
        <v>4</v>
      </c>
      <c r="J142" s="3">
        <v>46.17</v>
      </c>
      <c r="K142" s="3">
        <v>184.68</v>
      </c>
      <c r="L142" s="3">
        <v>23.88</v>
      </c>
      <c r="M142" s="3">
        <v>95.52</v>
      </c>
      <c r="N142" s="3">
        <v>89.16</v>
      </c>
      <c r="O142" s="4">
        <v>0.48278102664067574</v>
      </c>
      <c r="P142" s="3">
        <v>155000</v>
      </c>
    </row>
    <row r="143" spans="1:16">
      <c r="A143" t="s">
        <v>195</v>
      </c>
      <c r="B143" s="2">
        <v>45988</v>
      </c>
      <c r="C143" t="s">
        <v>33</v>
      </c>
      <c r="D143" t="s">
        <v>68</v>
      </c>
      <c r="E143" t="s">
        <v>26</v>
      </c>
      <c r="F143" t="s">
        <v>20</v>
      </c>
      <c r="G143" t="s">
        <v>21</v>
      </c>
      <c r="H143" t="s">
        <v>22</v>
      </c>
      <c r="I143" s="5">
        <v>3</v>
      </c>
      <c r="J143" s="3">
        <v>29.88</v>
      </c>
      <c r="K143" s="3">
        <v>89.64</v>
      </c>
      <c r="L143" s="3">
        <v>15.38</v>
      </c>
      <c r="M143" s="3">
        <v>46.14</v>
      </c>
      <c r="N143" s="3">
        <v>43.5</v>
      </c>
      <c r="O143" s="4">
        <v>0.48527443105756357</v>
      </c>
      <c r="P143" s="3">
        <v>155000</v>
      </c>
    </row>
    <row r="144" spans="1:16">
      <c r="A144" t="s">
        <v>196</v>
      </c>
      <c r="B144" s="2">
        <v>45748</v>
      </c>
      <c r="C144" t="s">
        <v>24</v>
      </c>
      <c r="D144" t="s">
        <v>74</v>
      </c>
      <c r="E144" t="s">
        <v>42</v>
      </c>
      <c r="F144" t="s">
        <v>50</v>
      </c>
      <c r="G144" t="s">
        <v>27</v>
      </c>
      <c r="H144" t="s">
        <v>55</v>
      </c>
      <c r="I144" s="5">
        <v>6</v>
      </c>
      <c r="J144" s="3">
        <v>675.88</v>
      </c>
      <c r="K144" s="3">
        <v>4055.28</v>
      </c>
      <c r="L144" s="3">
        <v>439.77</v>
      </c>
      <c r="M144" s="3">
        <v>2638.62</v>
      </c>
      <c r="N144" s="3">
        <v>1416.66</v>
      </c>
      <c r="O144" s="4">
        <v>0.34933716044268215</v>
      </c>
      <c r="P144" s="3">
        <v>135000</v>
      </c>
    </row>
    <row r="145" spans="1:16">
      <c r="A145" t="s">
        <v>197</v>
      </c>
      <c r="B145" s="2">
        <v>45735</v>
      </c>
      <c r="C145" t="s">
        <v>24</v>
      </c>
      <c r="D145" t="s">
        <v>25</v>
      </c>
      <c r="E145" t="s">
        <v>19</v>
      </c>
      <c r="F145" t="s">
        <v>50</v>
      </c>
      <c r="G145" t="s">
        <v>35</v>
      </c>
      <c r="H145" t="s">
        <v>63</v>
      </c>
      <c r="I145" s="5">
        <v>1</v>
      </c>
      <c r="J145" s="3">
        <v>254.13</v>
      </c>
      <c r="K145" s="3">
        <v>254.13</v>
      </c>
      <c r="L145" s="3">
        <v>174.14</v>
      </c>
      <c r="M145" s="3">
        <v>174.14</v>
      </c>
      <c r="N145" s="3">
        <v>79.989999999999995</v>
      </c>
      <c r="O145" s="4">
        <v>0.31476016212174868</v>
      </c>
      <c r="P145" s="3">
        <v>135000</v>
      </c>
    </row>
    <row r="146" spans="1:16">
      <c r="A146" t="s">
        <v>198</v>
      </c>
      <c r="B146" s="2">
        <v>45894</v>
      </c>
      <c r="C146" t="s">
        <v>24</v>
      </c>
      <c r="D146" t="s">
        <v>25</v>
      </c>
      <c r="E146" t="s">
        <v>26</v>
      </c>
      <c r="F146" t="s">
        <v>43</v>
      </c>
      <c r="G146" t="s">
        <v>21</v>
      </c>
      <c r="H146" t="s">
        <v>47</v>
      </c>
      <c r="I146" s="5">
        <v>2</v>
      </c>
      <c r="J146" s="3">
        <v>43.48</v>
      </c>
      <c r="K146" s="3">
        <v>86.96</v>
      </c>
      <c r="L146" s="3">
        <v>24.26</v>
      </c>
      <c r="M146" s="3">
        <v>48.52</v>
      </c>
      <c r="N146" s="3">
        <v>38.44</v>
      </c>
      <c r="O146" s="4">
        <v>0.4420423183072677</v>
      </c>
      <c r="P146" s="3">
        <v>135000</v>
      </c>
    </row>
    <row r="147" spans="1:16">
      <c r="A147" t="s">
        <v>199</v>
      </c>
      <c r="B147" s="2">
        <v>45894</v>
      </c>
      <c r="C147" t="s">
        <v>17</v>
      </c>
      <c r="D147" t="s">
        <v>38</v>
      </c>
      <c r="E147" t="s">
        <v>42</v>
      </c>
      <c r="F147" t="s">
        <v>50</v>
      </c>
      <c r="G147" t="s">
        <v>35</v>
      </c>
      <c r="H147" t="s">
        <v>58</v>
      </c>
      <c r="I147" s="5">
        <v>6</v>
      </c>
      <c r="J147" s="3">
        <v>981.45</v>
      </c>
      <c r="K147" s="3">
        <v>5888.7</v>
      </c>
      <c r="L147" s="3">
        <v>727.3</v>
      </c>
      <c r="M147" s="3">
        <v>4363.8</v>
      </c>
      <c r="N147" s="3">
        <v>1524.9</v>
      </c>
      <c r="O147" s="4">
        <v>0.25895358907738553</v>
      </c>
      <c r="P147" s="3">
        <v>140000</v>
      </c>
    </row>
    <row r="148" spans="1:16">
      <c r="A148" t="s">
        <v>200</v>
      </c>
      <c r="B148" s="2">
        <v>45689</v>
      </c>
      <c r="C148" t="s">
        <v>24</v>
      </c>
      <c r="D148" t="s">
        <v>25</v>
      </c>
      <c r="E148" t="s">
        <v>42</v>
      </c>
      <c r="F148" t="s">
        <v>43</v>
      </c>
      <c r="G148" t="s">
        <v>21</v>
      </c>
      <c r="H148" t="s">
        <v>47</v>
      </c>
      <c r="I148" s="5">
        <v>3</v>
      </c>
      <c r="J148" s="3">
        <v>38.159999999999997</v>
      </c>
      <c r="K148" s="3">
        <v>114.48</v>
      </c>
      <c r="L148" s="3">
        <v>24.74</v>
      </c>
      <c r="M148" s="3">
        <v>74.22</v>
      </c>
      <c r="N148" s="3">
        <v>40.26</v>
      </c>
      <c r="O148" s="4">
        <v>0.35167714884696016</v>
      </c>
      <c r="P148" s="3">
        <v>135000</v>
      </c>
    </row>
    <row r="149" spans="1:16">
      <c r="A149" t="s">
        <v>201</v>
      </c>
      <c r="B149" s="2">
        <v>45882</v>
      </c>
      <c r="C149" t="s">
        <v>33</v>
      </c>
      <c r="D149" t="s">
        <v>34</v>
      </c>
      <c r="E149" t="s">
        <v>26</v>
      </c>
      <c r="F149" t="s">
        <v>20</v>
      </c>
      <c r="G149" t="s">
        <v>27</v>
      </c>
      <c r="H149" t="s">
        <v>44</v>
      </c>
      <c r="I149" s="5">
        <v>6</v>
      </c>
      <c r="J149" s="3">
        <v>335.79</v>
      </c>
      <c r="K149" s="3">
        <v>2014.74</v>
      </c>
      <c r="L149" s="3">
        <v>202.7</v>
      </c>
      <c r="M149" s="3">
        <v>1216.2</v>
      </c>
      <c r="N149" s="3">
        <v>798.54</v>
      </c>
      <c r="O149" s="4">
        <v>0.39634890854403049</v>
      </c>
      <c r="P149" s="3">
        <v>155000</v>
      </c>
    </row>
    <row r="150" spans="1:16">
      <c r="A150" t="s">
        <v>202</v>
      </c>
      <c r="B150" s="2">
        <v>45981</v>
      </c>
      <c r="C150" t="s">
        <v>40</v>
      </c>
      <c r="D150" t="s">
        <v>41</v>
      </c>
      <c r="E150" t="s">
        <v>26</v>
      </c>
      <c r="F150" t="s">
        <v>50</v>
      </c>
      <c r="G150" t="s">
        <v>27</v>
      </c>
      <c r="H150" t="s">
        <v>44</v>
      </c>
      <c r="I150" s="5">
        <v>5</v>
      </c>
      <c r="J150" s="3">
        <v>305.74</v>
      </c>
      <c r="K150" s="3">
        <v>1528.7</v>
      </c>
      <c r="L150" s="3">
        <v>219.48</v>
      </c>
      <c r="M150" s="3">
        <v>1097.4000000000001</v>
      </c>
      <c r="N150" s="3">
        <v>431.3</v>
      </c>
      <c r="O150" s="4">
        <v>0.28213514751095703</v>
      </c>
      <c r="P150" s="3">
        <v>165000</v>
      </c>
    </row>
    <row r="151" spans="1:16">
      <c r="A151" t="s">
        <v>203</v>
      </c>
      <c r="B151" s="2">
        <v>45966</v>
      </c>
      <c r="C151" t="s">
        <v>33</v>
      </c>
      <c r="D151" t="s">
        <v>34</v>
      </c>
      <c r="E151" t="s">
        <v>26</v>
      </c>
      <c r="F151" t="s">
        <v>50</v>
      </c>
      <c r="G151" t="s">
        <v>35</v>
      </c>
      <c r="H151" t="s">
        <v>36</v>
      </c>
      <c r="I151" s="5">
        <v>5</v>
      </c>
      <c r="J151" s="3">
        <v>38.950000000000003</v>
      </c>
      <c r="K151" s="3">
        <v>194.75</v>
      </c>
      <c r="L151" s="3">
        <v>18.54</v>
      </c>
      <c r="M151" s="3">
        <v>92.7</v>
      </c>
      <c r="N151" s="3">
        <v>102.05</v>
      </c>
      <c r="O151" s="4">
        <v>0.52400513478819</v>
      </c>
      <c r="P151" s="3">
        <v>155000</v>
      </c>
    </row>
    <row r="152" spans="1:16">
      <c r="A152" t="s">
        <v>204</v>
      </c>
      <c r="B152" s="2">
        <v>45858</v>
      </c>
      <c r="C152" t="s">
        <v>33</v>
      </c>
      <c r="D152" t="s">
        <v>52</v>
      </c>
      <c r="E152" t="s">
        <v>26</v>
      </c>
      <c r="F152" t="s">
        <v>20</v>
      </c>
      <c r="G152" t="s">
        <v>35</v>
      </c>
      <c r="H152" t="s">
        <v>36</v>
      </c>
      <c r="I152" s="5">
        <v>3</v>
      </c>
      <c r="J152" s="3">
        <v>36.659999999999997</v>
      </c>
      <c r="K152" s="3">
        <v>109.98</v>
      </c>
      <c r="L152" s="3">
        <v>18.77</v>
      </c>
      <c r="M152" s="3">
        <v>56.31</v>
      </c>
      <c r="N152" s="3">
        <v>53.67</v>
      </c>
      <c r="O152" s="4">
        <v>0.4879978177850518</v>
      </c>
      <c r="P152" s="3">
        <v>155000</v>
      </c>
    </row>
    <row r="153" spans="1:16">
      <c r="A153" t="s">
        <v>205</v>
      </c>
      <c r="B153" s="2">
        <v>46008</v>
      </c>
      <c r="C153" t="s">
        <v>17</v>
      </c>
      <c r="D153" t="s">
        <v>38</v>
      </c>
      <c r="E153" t="s">
        <v>19</v>
      </c>
      <c r="F153" t="s">
        <v>20</v>
      </c>
      <c r="G153" t="s">
        <v>35</v>
      </c>
      <c r="H153" t="s">
        <v>63</v>
      </c>
      <c r="I153" s="5">
        <v>3</v>
      </c>
      <c r="J153" s="3">
        <v>288.41000000000003</v>
      </c>
      <c r="K153" s="3">
        <v>865.23</v>
      </c>
      <c r="L153" s="3">
        <v>178.95</v>
      </c>
      <c r="M153" s="3">
        <v>536.85</v>
      </c>
      <c r="N153" s="3">
        <v>328.38</v>
      </c>
      <c r="O153" s="4">
        <v>0.37952914254013381</v>
      </c>
      <c r="P153" s="3">
        <v>140000</v>
      </c>
    </row>
    <row r="154" spans="1:16">
      <c r="A154" t="s">
        <v>206</v>
      </c>
      <c r="B154" s="2">
        <v>45906</v>
      </c>
      <c r="C154" t="s">
        <v>33</v>
      </c>
      <c r="D154" t="s">
        <v>68</v>
      </c>
      <c r="E154" t="s">
        <v>42</v>
      </c>
      <c r="F154" t="s">
        <v>20</v>
      </c>
      <c r="G154" t="s">
        <v>35</v>
      </c>
      <c r="H154" t="s">
        <v>63</v>
      </c>
      <c r="I154" s="5">
        <v>2</v>
      </c>
      <c r="J154" s="3">
        <v>263.04000000000002</v>
      </c>
      <c r="K154" s="3">
        <v>526.08000000000004</v>
      </c>
      <c r="L154" s="3">
        <v>182.52</v>
      </c>
      <c r="M154" s="3">
        <v>365.04</v>
      </c>
      <c r="N154" s="3">
        <v>161.04</v>
      </c>
      <c r="O154" s="4">
        <v>0.30611313868613133</v>
      </c>
      <c r="P154" s="3">
        <v>155000</v>
      </c>
    </row>
    <row r="155" spans="1:16">
      <c r="A155" t="s">
        <v>207</v>
      </c>
      <c r="B155" s="2">
        <v>45927</v>
      </c>
      <c r="C155" t="s">
        <v>17</v>
      </c>
      <c r="D155" t="s">
        <v>80</v>
      </c>
      <c r="E155" t="s">
        <v>42</v>
      </c>
      <c r="F155" t="s">
        <v>50</v>
      </c>
      <c r="G155" t="s">
        <v>27</v>
      </c>
      <c r="H155" t="s">
        <v>44</v>
      </c>
      <c r="I155" s="5">
        <v>3</v>
      </c>
      <c r="J155" s="3">
        <v>299.42</v>
      </c>
      <c r="K155" s="3">
        <v>898.26</v>
      </c>
      <c r="L155" s="3">
        <v>219.06</v>
      </c>
      <c r="M155" s="3">
        <v>657.18</v>
      </c>
      <c r="N155" s="3">
        <v>241.08</v>
      </c>
      <c r="O155" s="4">
        <v>0.26838554538774967</v>
      </c>
      <c r="P155" s="3">
        <v>140000</v>
      </c>
    </row>
    <row r="156" spans="1:16">
      <c r="A156" t="s">
        <v>208</v>
      </c>
      <c r="B156" s="2">
        <v>45977</v>
      </c>
      <c r="C156" t="s">
        <v>33</v>
      </c>
      <c r="D156" t="s">
        <v>54</v>
      </c>
      <c r="E156" t="s">
        <v>26</v>
      </c>
      <c r="F156" t="s">
        <v>20</v>
      </c>
      <c r="G156" t="s">
        <v>35</v>
      </c>
      <c r="H156" t="s">
        <v>58</v>
      </c>
      <c r="I156" s="5">
        <v>8</v>
      </c>
      <c r="J156" s="3">
        <v>982.61</v>
      </c>
      <c r="K156" s="3">
        <v>7860.88</v>
      </c>
      <c r="L156" s="3">
        <v>745.37</v>
      </c>
      <c r="M156" s="3">
        <v>5962.96</v>
      </c>
      <c r="N156" s="3">
        <v>1897.92</v>
      </c>
      <c r="O156" s="4">
        <v>0.24143861755935722</v>
      </c>
      <c r="P156" s="3">
        <v>155000</v>
      </c>
    </row>
    <row r="157" spans="1:16">
      <c r="A157" t="s">
        <v>209</v>
      </c>
      <c r="B157" s="2">
        <v>45887</v>
      </c>
      <c r="C157" t="s">
        <v>33</v>
      </c>
      <c r="D157" t="s">
        <v>68</v>
      </c>
      <c r="E157" t="s">
        <v>26</v>
      </c>
      <c r="F157" t="s">
        <v>43</v>
      </c>
      <c r="G157" t="s">
        <v>27</v>
      </c>
      <c r="H157" t="s">
        <v>55</v>
      </c>
      <c r="I157" s="5">
        <v>4</v>
      </c>
      <c r="J157" s="3">
        <v>608.16999999999996</v>
      </c>
      <c r="K157" s="3">
        <v>2432.6799999999998</v>
      </c>
      <c r="L157" s="3">
        <v>453.53</v>
      </c>
      <c r="M157" s="3">
        <v>1814.12</v>
      </c>
      <c r="N157" s="3">
        <v>618.55999999999995</v>
      </c>
      <c r="O157" s="4">
        <v>0.25427100975056316</v>
      </c>
      <c r="P157" s="3">
        <v>155000</v>
      </c>
    </row>
    <row r="158" spans="1:16">
      <c r="A158" t="s">
        <v>210</v>
      </c>
      <c r="B158" s="2">
        <v>45883</v>
      </c>
      <c r="C158" t="s">
        <v>24</v>
      </c>
      <c r="D158" t="s">
        <v>49</v>
      </c>
      <c r="E158" t="s">
        <v>42</v>
      </c>
      <c r="F158" t="s">
        <v>50</v>
      </c>
      <c r="G158" t="s">
        <v>27</v>
      </c>
      <c r="H158" t="s">
        <v>44</v>
      </c>
      <c r="I158" s="5">
        <v>3</v>
      </c>
      <c r="J158" s="3">
        <v>345.51</v>
      </c>
      <c r="K158" s="3">
        <v>1036.53</v>
      </c>
      <c r="L158" s="3">
        <v>218.43</v>
      </c>
      <c r="M158" s="3">
        <v>655.29</v>
      </c>
      <c r="N158" s="3">
        <v>381.24</v>
      </c>
      <c r="O158" s="4">
        <v>0.36780411565511856</v>
      </c>
      <c r="P158" s="3">
        <v>135000</v>
      </c>
    </row>
    <row r="159" spans="1:16">
      <c r="A159" t="s">
        <v>211</v>
      </c>
      <c r="B159" s="2">
        <v>45728</v>
      </c>
      <c r="C159" t="s">
        <v>40</v>
      </c>
      <c r="D159" t="s">
        <v>41</v>
      </c>
      <c r="E159" t="s">
        <v>19</v>
      </c>
      <c r="F159" t="s">
        <v>43</v>
      </c>
      <c r="G159" t="s">
        <v>27</v>
      </c>
      <c r="H159" t="s">
        <v>28</v>
      </c>
      <c r="I159" s="5">
        <v>2</v>
      </c>
      <c r="J159" s="3">
        <v>190.17</v>
      </c>
      <c r="K159" s="3">
        <v>380.34</v>
      </c>
      <c r="L159" s="3">
        <v>116.33</v>
      </c>
      <c r="M159" s="3">
        <v>232.66</v>
      </c>
      <c r="N159" s="3">
        <v>147.68</v>
      </c>
      <c r="O159" s="4">
        <v>0.38828416679812805</v>
      </c>
      <c r="P159" s="3">
        <v>165000</v>
      </c>
    </row>
    <row r="160" spans="1:16">
      <c r="A160" t="s">
        <v>212</v>
      </c>
      <c r="B160" s="2">
        <v>45721</v>
      </c>
      <c r="C160" t="s">
        <v>40</v>
      </c>
      <c r="D160" t="s">
        <v>41</v>
      </c>
      <c r="E160" t="s">
        <v>42</v>
      </c>
      <c r="F160" t="s">
        <v>20</v>
      </c>
      <c r="G160" t="s">
        <v>27</v>
      </c>
      <c r="H160" t="s">
        <v>28</v>
      </c>
      <c r="I160" s="5">
        <v>3</v>
      </c>
      <c r="J160" s="3">
        <v>194.91</v>
      </c>
      <c r="K160" s="3">
        <v>584.73</v>
      </c>
      <c r="L160" s="3">
        <v>111.45</v>
      </c>
      <c r="M160" s="3">
        <v>334.35</v>
      </c>
      <c r="N160" s="3">
        <v>250.38</v>
      </c>
      <c r="O160" s="4">
        <v>0.42819762967523473</v>
      </c>
      <c r="P160" s="3">
        <v>165000</v>
      </c>
    </row>
    <row r="161" spans="1:16">
      <c r="A161" t="s">
        <v>213</v>
      </c>
      <c r="B161" s="2">
        <v>45771</v>
      </c>
      <c r="C161" t="s">
        <v>24</v>
      </c>
      <c r="D161" t="s">
        <v>49</v>
      </c>
      <c r="E161" t="s">
        <v>42</v>
      </c>
      <c r="F161" t="s">
        <v>20</v>
      </c>
      <c r="G161" t="s">
        <v>27</v>
      </c>
      <c r="H161" t="s">
        <v>44</v>
      </c>
      <c r="I161" s="5">
        <v>6</v>
      </c>
      <c r="J161" s="3">
        <v>304.60000000000002</v>
      </c>
      <c r="K161" s="3">
        <v>1827.6</v>
      </c>
      <c r="L161" s="3">
        <v>222.49</v>
      </c>
      <c r="M161" s="3">
        <v>1334.94</v>
      </c>
      <c r="N161" s="3">
        <v>492.66</v>
      </c>
      <c r="O161" s="4">
        <v>0.26956664478003944</v>
      </c>
      <c r="P161" s="3">
        <v>135000</v>
      </c>
    </row>
    <row r="162" spans="1:16">
      <c r="A162" t="s">
        <v>214</v>
      </c>
      <c r="B162" s="2">
        <v>45849</v>
      </c>
      <c r="C162" t="s">
        <v>33</v>
      </c>
      <c r="D162" t="s">
        <v>52</v>
      </c>
      <c r="E162" t="s">
        <v>26</v>
      </c>
      <c r="F162" t="s">
        <v>20</v>
      </c>
      <c r="G162" t="s">
        <v>35</v>
      </c>
      <c r="H162" t="s">
        <v>36</v>
      </c>
      <c r="I162" s="5">
        <v>3</v>
      </c>
      <c r="J162" s="3">
        <v>32.56</v>
      </c>
      <c r="K162" s="3">
        <v>97.68</v>
      </c>
      <c r="L162" s="3">
        <v>17.8</v>
      </c>
      <c r="M162" s="3">
        <v>53.4</v>
      </c>
      <c r="N162" s="3">
        <v>44.28</v>
      </c>
      <c r="O162" s="4">
        <v>0.45331695331695332</v>
      </c>
      <c r="P162" s="3">
        <v>155000</v>
      </c>
    </row>
    <row r="163" spans="1:16">
      <c r="A163" t="s">
        <v>215</v>
      </c>
      <c r="B163" s="2">
        <v>45899</v>
      </c>
      <c r="C163" t="s">
        <v>33</v>
      </c>
      <c r="D163" t="s">
        <v>54</v>
      </c>
      <c r="E163" t="s">
        <v>26</v>
      </c>
      <c r="F163" t="s">
        <v>20</v>
      </c>
      <c r="G163" t="s">
        <v>21</v>
      </c>
      <c r="H163" t="s">
        <v>47</v>
      </c>
      <c r="I163" s="5">
        <v>1</v>
      </c>
      <c r="J163" s="3">
        <v>40.159999999999997</v>
      </c>
      <c r="K163" s="3">
        <v>40.159999999999997</v>
      </c>
      <c r="L163" s="3">
        <v>25.04</v>
      </c>
      <c r="M163" s="3">
        <v>25.04</v>
      </c>
      <c r="N163" s="3">
        <v>15.12</v>
      </c>
      <c r="O163" s="4">
        <v>0.37649402390438247</v>
      </c>
      <c r="P163" s="3">
        <v>155000</v>
      </c>
    </row>
    <row r="164" spans="1:16">
      <c r="A164" t="s">
        <v>216</v>
      </c>
      <c r="B164" s="2">
        <v>45938</v>
      </c>
      <c r="C164" t="s">
        <v>24</v>
      </c>
      <c r="D164" t="s">
        <v>25</v>
      </c>
      <c r="E164" t="s">
        <v>42</v>
      </c>
      <c r="F164" t="s">
        <v>20</v>
      </c>
      <c r="G164" t="s">
        <v>21</v>
      </c>
      <c r="H164" t="s">
        <v>47</v>
      </c>
      <c r="I164" s="5">
        <v>1</v>
      </c>
      <c r="J164" s="3">
        <v>40</v>
      </c>
      <c r="K164" s="3">
        <v>40</v>
      </c>
      <c r="L164" s="3">
        <v>24.57</v>
      </c>
      <c r="M164" s="3">
        <v>24.57</v>
      </c>
      <c r="N164" s="3">
        <v>15.43</v>
      </c>
      <c r="O164" s="4">
        <v>0.38574999999999998</v>
      </c>
      <c r="P164" s="3">
        <v>135000</v>
      </c>
    </row>
    <row r="165" spans="1:16">
      <c r="A165" t="s">
        <v>217</v>
      </c>
      <c r="B165" s="2">
        <v>45976</v>
      </c>
      <c r="C165" t="s">
        <v>24</v>
      </c>
      <c r="D165" t="s">
        <v>25</v>
      </c>
      <c r="E165" t="s">
        <v>26</v>
      </c>
      <c r="F165" t="s">
        <v>43</v>
      </c>
      <c r="G165" t="s">
        <v>27</v>
      </c>
      <c r="H165" t="s">
        <v>28</v>
      </c>
      <c r="I165" s="5">
        <v>1</v>
      </c>
      <c r="J165" s="3">
        <v>187.03</v>
      </c>
      <c r="K165" s="3">
        <v>187.03</v>
      </c>
      <c r="L165" s="3">
        <v>117.01</v>
      </c>
      <c r="M165" s="3">
        <v>117.01</v>
      </c>
      <c r="N165" s="3">
        <v>70.02</v>
      </c>
      <c r="O165" s="4">
        <v>0.3743784419611827</v>
      </c>
      <c r="P165" s="3">
        <v>135000</v>
      </c>
    </row>
    <row r="166" spans="1:16">
      <c r="A166" t="s">
        <v>218</v>
      </c>
      <c r="B166" s="2">
        <v>45731</v>
      </c>
      <c r="C166" t="s">
        <v>40</v>
      </c>
      <c r="D166" t="s">
        <v>57</v>
      </c>
      <c r="E166" t="s">
        <v>26</v>
      </c>
      <c r="F166" t="s">
        <v>20</v>
      </c>
      <c r="G166" t="s">
        <v>27</v>
      </c>
      <c r="H166" t="s">
        <v>44</v>
      </c>
      <c r="I166" s="5">
        <v>3</v>
      </c>
      <c r="J166" s="3">
        <v>334.77</v>
      </c>
      <c r="K166" s="3">
        <v>1004.31</v>
      </c>
      <c r="L166" s="3">
        <v>203.4</v>
      </c>
      <c r="M166" s="3">
        <v>610.20000000000005</v>
      </c>
      <c r="N166" s="3">
        <v>394.11</v>
      </c>
      <c r="O166" s="4">
        <v>0.39241867550855813</v>
      </c>
      <c r="P166" s="3">
        <v>165000</v>
      </c>
    </row>
    <row r="167" spans="1:16">
      <c r="A167" t="s">
        <v>219</v>
      </c>
      <c r="B167" s="2">
        <v>45842</v>
      </c>
      <c r="C167" t="s">
        <v>17</v>
      </c>
      <c r="D167" t="s">
        <v>18</v>
      </c>
      <c r="E167" t="s">
        <v>26</v>
      </c>
      <c r="F167" t="s">
        <v>50</v>
      </c>
      <c r="G167" t="s">
        <v>27</v>
      </c>
      <c r="H167" t="s">
        <v>44</v>
      </c>
      <c r="I167" s="5">
        <v>6</v>
      </c>
      <c r="J167" s="3">
        <v>305.86</v>
      </c>
      <c r="K167" s="3">
        <v>1835.16</v>
      </c>
      <c r="L167" s="3">
        <v>201.94</v>
      </c>
      <c r="M167" s="3">
        <v>1211.6400000000001</v>
      </c>
      <c r="N167" s="3">
        <v>623.52</v>
      </c>
      <c r="O167" s="4">
        <v>0.33976329039429803</v>
      </c>
      <c r="P167" s="3">
        <v>140000</v>
      </c>
    </row>
    <row r="168" spans="1:16">
      <c r="A168" t="s">
        <v>220</v>
      </c>
      <c r="B168" s="2">
        <v>45692</v>
      </c>
      <c r="C168" t="s">
        <v>40</v>
      </c>
      <c r="D168" t="s">
        <v>65</v>
      </c>
      <c r="E168" t="s">
        <v>19</v>
      </c>
      <c r="F168" t="s">
        <v>50</v>
      </c>
      <c r="G168" t="s">
        <v>35</v>
      </c>
      <c r="H168" t="s">
        <v>36</v>
      </c>
      <c r="I168" s="5">
        <v>3</v>
      </c>
      <c r="J168" s="3">
        <v>31.84</v>
      </c>
      <c r="K168" s="3">
        <v>95.52</v>
      </c>
      <c r="L168" s="3">
        <v>18.260000000000002</v>
      </c>
      <c r="M168" s="3">
        <v>54.78</v>
      </c>
      <c r="N168" s="3">
        <v>40.74</v>
      </c>
      <c r="O168" s="4">
        <v>0.42650753768844224</v>
      </c>
      <c r="P168" s="3">
        <v>165000</v>
      </c>
    </row>
    <row r="169" spans="1:16">
      <c r="A169" t="s">
        <v>221</v>
      </c>
      <c r="B169" s="2">
        <v>45987</v>
      </c>
      <c r="C169" t="s">
        <v>33</v>
      </c>
      <c r="D169" t="s">
        <v>54</v>
      </c>
      <c r="E169" t="s">
        <v>42</v>
      </c>
      <c r="F169" t="s">
        <v>50</v>
      </c>
      <c r="G169" t="s">
        <v>21</v>
      </c>
      <c r="H169" t="s">
        <v>22</v>
      </c>
      <c r="I169" s="5">
        <v>3</v>
      </c>
      <c r="J169" s="3">
        <v>25.59</v>
      </c>
      <c r="K169" s="3">
        <v>76.77</v>
      </c>
      <c r="L169" s="3">
        <v>15.56</v>
      </c>
      <c r="M169" s="3">
        <v>46.68</v>
      </c>
      <c r="N169" s="3">
        <v>30.09</v>
      </c>
      <c r="O169" s="4">
        <v>0.39194998046111762</v>
      </c>
      <c r="P169" s="3">
        <v>155000</v>
      </c>
    </row>
    <row r="170" spans="1:16">
      <c r="A170" t="s">
        <v>222</v>
      </c>
      <c r="B170" s="2">
        <v>45892</v>
      </c>
      <c r="C170" t="s">
        <v>17</v>
      </c>
      <c r="D170" t="s">
        <v>80</v>
      </c>
      <c r="E170" t="s">
        <v>26</v>
      </c>
      <c r="F170" t="s">
        <v>50</v>
      </c>
      <c r="G170" t="s">
        <v>21</v>
      </c>
      <c r="H170" t="s">
        <v>31</v>
      </c>
      <c r="I170" s="5">
        <v>6</v>
      </c>
      <c r="J170" s="3">
        <v>13.26</v>
      </c>
      <c r="K170" s="3">
        <v>79.56</v>
      </c>
      <c r="L170" s="3">
        <v>6.07</v>
      </c>
      <c r="M170" s="3">
        <v>36.42</v>
      </c>
      <c r="N170" s="3">
        <v>43.14</v>
      </c>
      <c r="O170" s="4">
        <v>0.54223227752639513</v>
      </c>
      <c r="P170" s="3">
        <v>140000</v>
      </c>
    </row>
    <row r="171" spans="1:16">
      <c r="A171" t="s">
        <v>223</v>
      </c>
      <c r="B171" s="2">
        <v>45936</v>
      </c>
      <c r="C171" t="s">
        <v>24</v>
      </c>
      <c r="D171" t="s">
        <v>49</v>
      </c>
      <c r="E171" t="s">
        <v>26</v>
      </c>
      <c r="F171" t="s">
        <v>50</v>
      </c>
      <c r="G171" t="s">
        <v>35</v>
      </c>
      <c r="H171" t="s">
        <v>63</v>
      </c>
      <c r="I171" s="5">
        <v>6</v>
      </c>
      <c r="J171" s="3">
        <v>283.31</v>
      </c>
      <c r="K171" s="3">
        <v>1699.86</v>
      </c>
      <c r="L171" s="3">
        <v>173.66</v>
      </c>
      <c r="M171" s="3">
        <v>1041.96</v>
      </c>
      <c r="N171" s="3">
        <v>657.9</v>
      </c>
      <c r="O171" s="4">
        <v>0.38703187321308813</v>
      </c>
      <c r="P171" s="3">
        <v>135000</v>
      </c>
    </row>
    <row r="172" spans="1:16">
      <c r="A172" t="s">
        <v>224</v>
      </c>
      <c r="B172" s="2">
        <v>45993</v>
      </c>
      <c r="C172" t="s">
        <v>40</v>
      </c>
      <c r="D172" t="s">
        <v>46</v>
      </c>
      <c r="E172" t="s">
        <v>26</v>
      </c>
      <c r="F172" t="s">
        <v>20</v>
      </c>
      <c r="G172" t="s">
        <v>27</v>
      </c>
      <c r="H172" t="s">
        <v>44</v>
      </c>
      <c r="I172" s="5">
        <v>8</v>
      </c>
      <c r="J172" s="3">
        <v>350.98</v>
      </c>
      <c r="K172" s="3">
        <v>2807.84</v>
      </c>
      <c r="L172" s="3">
        <v>209.72</v>
      </c>
      <c r="M172" s="3">
        <v>1677.76</v>
      </c>
      <c r="N172" s="3">
        <v>1130.08</v>
      </c>
      <c r="O172" s="4">
        <v>0.40247307538891103</v>
      </c>
      <c r="P172" s="3">
        <v>165000</v>
      </c>
    </row>
    <row r="173" spans="1:16">
      <c r="A173" t="s">
        <v>225</v>
      </c>
      <c r="B173" s="2">
        <v>45753</v>
      </c>
      <c r="C173" t="s">
        <v>24</v>
      </c>
      <c r="D173" t="s">
        <v>74</v>
      </c>
      <c r="E173" t="s">
        <v>26</v>
      </c>
      <c r="F173" t="s">
        <v>50</v>
      </c>
      <c r="G173" t="s">
        <v>35</v>
      </c>
      <c r="H173" t="s">
        <v>63</v>
      </c>
      <c r="I173" s="5">
        <v>2</v>
      </c>
      <c r="J173" s="3">
        <v>275.58999999999997</v>
      </c>
      <c r="K173" s="3">
        <v>551.17999999999995</v>
      </c>
      <c r="L173" s="3">
        <v>174.22</v>
      </c>
      <c r="M173" s="3">
        <v>348.44</v>
      </c>
      <c r="N173" s="3">
        <v>202.74</v>
      </c>
      <c r="O173" s="4">
        <v>0.36782902137232854</v>
      </c>
      <c r="P173" s="3">
        <v>135000</v>
      </c>
    </row>
    <row r="174" spans="1:16">
      <c r="A174" t="s">
        <v>226</v>
      </c>
      <c r="B174" s="2">
        <v>45966</v>
      </c>
      <c r="C174" t="s">
        <v>33</v>
      </c>
      <c r="D174" t="s">
        <v>34</v>
      </c>
      <c r="E174" t="s">
        <v>26</v>
      </c>
      <c r="F174" t="s">
        <v>20</v>
      </c>
      <c r="G174" t="s">
        <v>35</v>
      </c>
      <c r="H174" t="s">
        <v>63</v>
      </c>
      <c r="I174" s="5">
        <v>5</v>
      </c>
      <c r="J174" s="3">
        <v>259.51</v>
      </c>
      <c r="K174" s="3">
        <v>1297.55</v>
      </c>
      <c r="L174" s="3">
        <v>185.72</v>
      </c>
      <c r="M174" s="3">
        <v>928.6</v>
      </c>
      <c r="N174" s="3">
        <v>368.95</v>
      </c>
      <c r="O174" s="4">
        <v>0.28434357057531501</v>
      </c>
      <c r="P174" s="3">
        <v>155000</v>
      </c>
    </row>
    <row r="175" spans="1:16">
      <c r="A175" t="s">
        <v>227</v>
      </c>
      <c r="B175" s="2">
        <v>45743</v>
      </c>
      <c r="C175" t="s">
        <v>24</v>
      </c>
      <c r="D175" t="s">
        <v>49</v>
      </c>
      <c r="E175" t="s">
        <v>26</v>
      </c>
      <c r="F175" t="s">
        <v>50</v>
      </c>
      <c r="G175" t="s">
        <v>35</v>
      </c>
      <c r="H175" t="s">
        <v>36</v>
      </c>
      <c r="I175" s="5">
        <v>7</v>
      </c>
      <c r="J175" s="3">
        <v>33.61</v>
      </c>
      <c r="K175" s="3">
        <v>235.27</v>
      </c>
      <c r="L175" s="3">
        <v>19.04</v>
      </c>
      <c r="M175" s="3">
        <v>133.28</v>
      </c>
      <c r="N175" s="3">
        <v>101.99</v>
      </c>
      <c r="O175" s="4">
        <v>0.43350193394822967</v>
      </c>
      <c r="P175" s="3">
        <v>135000</v>
      </c>
    </row>
    <row r="176" spans="1:16">
      <c r="A176" t="s">
        <v>228</v>
      </c>
      <c r="B176" s="2">
        <v>45687</v>
      </c>
      <c r="C176" t="s">
        <v>17</v>
      </c>
      <c r="D176" t="s">
        <v>38</v>
      </c>
      <c r="E176" t="s">
        <v>26</v>
      </c>
      <c r="F176" t="s">
        <v>43</v>
      </c>
      <c r="G176" t="s">
        <v>21</v>
      </c>
      <c r="H176" t="s">
        <v>22</v>
      </c>
      <c r="I176" s="5">
        <v>1</v>
      </c>
      <c r="J176" s="3">
        <v>26.08</v>
      </c>
      <c r="K176" s="3">
        <v>26.08</v>
      </c>
      <c r="L176" s="3">
        <v>15.31</v>
      </c>
      <c r="M176" s="3">
        <v>15.31</v>
      </c>
      <c r="N176" s="3">
        <v>10.77</v>
      </c>
      <c r="O176" s="4">
        <v>0.41296012269938653</v>
      </c>
      <c r="P176" s="3">
        <v>140000</v>
      </c>
    </row>
    <row r="177" spans="1:16">
      <c r="A177" t="s">
        <v>229</v>
      </c>
      <c r="B177" s="2">
        <v>45882</v>
      </c>
      <c r="C177" t="s">
        <v>17</v>
      </c>
      <c r="D177" t="s">
        <v>60</v>
      </c>
      <c r="E177" t="s">
        <v>26</v>
      </c>
      <c r="F177" t="s">
        <v>50</v>
      </c>
      <c r="G177" t="s">
        <v>35</v>
      </c>
      <c r="H177" t="s">
        <v>36</v>
      </c>
      <c r="I177" s="5">
        <v>6</v>
      </c>
      <c r="J177" s="3">
        <v>34.450000000000003</v>
      </c>
      <c r="K177" s="3">
        <v>206.7</v>
      </c>
      <c r="L177" s="3">
        <v>18.3</v>
      </c>
      <c r="M177" s="3">
        <v>109.8</v>
      </c>
      <c r="N177" s="3">
        <v>96.9</v>
      </c>
      <c r="O177" s="4">
        <v>0.46879535558780849</v>
      </c>
      <c r="P177" s="3">
        <v>140000</v>
      </c>
    </row>
    <row r="178" spans="1:16">
      <c r="A178" t="s">
        <v>230</v>
      </c>
      <c r="B178" s="2">
        <v>45967</v>
      </c>
      <c r="C178" t="s">
        <v>33</v>
      </c>
      <c r="D178" t="s">
        <v>54</v>
      </c>
      <c r="E178" t="s">
        <v>42</v>
      </c>
      <c r="F178" t="s">
        <v>20</v>
      </c>
      <c r="G178" t="s">
        <v>21</v>
      </c>
      <c r="H178" t="s">
        <v>47</v>
      </c>
      <c r="I178" s="5">
        <v>3</v>
      </c>
      <c r="J178" s="3">
        <v>42.69</v>
      </c>
      <c r="K178" s="3">
        <v>128.07</v>
      </c>
      <c r="L178" s="3">
        <v>24</v>
      </c>
      <c r="M178" s="3">
        <v>72</v>
      </c>
      <c r="N178" s="3">
        <v>56.07</v>
      </c>
      <c r="O178" s="4">
        <v>0.43780744905130009</v>
      </c>
      <c r="P178" s="3">
        <v>155000</v>
      </c>
    </row>
    <row r="179" spans="1:16">
      <c r="A179" t="s">
        <v>231</v>
      </c>
      <c r="B179" s="2">
        <v>45990</v>
      </c>
      <c r="C179" t="s">
        <v>40</v>
      </c>
      <c r="D179" t="s">
        <v>65</v>
      </c>
      <c r="E179" t="s">
        <v>42</v>
      </c>
      <c r="F179" t="s">
        <v>20</v>
      </c>
      <c r="G179" t="s">
        <v>21</v>
      </c>
      <c r="H179" t="s">
        <v>22</v>
      </c>
      <c r="I179" s="5">
        <v>8</v>
      </c>
      <c r="J179" s="3">
        <v>28.39</v>
      </c>
      <c r="K179" s="3">
        <v>227.12</v>
      </c>
      <c r="L179" s="3">
        <v>15.77</v>
      </c>
      <c r="M179" s="3">
        <v>126.16</v>
      </c>
      <c r="N179" s="3">
        <v>100.96</v>
      </c>
      <c r="O179" s="4">
        <v>0.4445227192673476</v>
      </c>
      <c r="P179" s="3">
        <v>165000</v>
      </c>
    </row>
    <row r="180" spans="1:16">
      <c r="A180" t="s">
        <v>232</v>
      </c>
      <c r="B180" s="2">
        <v>45718</v>
      </c>
      <c r="C180" t="s">
        <v>40</v>
      </c>
      <c r="D180" t="s">
        <v>46</v>
      </c>
      <c r="E180" t="s">
        <v>19</v>
      </c>
      <c r="F180" t="s">
        <v>20</v>
      </c>
      <c r="G180" t="s">
        <v>35</v>
      </c>
      <c r="H180" t="s">
        <v>63</v>
      </c>
      <c r="I180" s="5">
        <v>8</v>
      </c>
      <c r="J180" s="3">
        <v>245.45</v>
      </c>
      <c r="K180" s="3">
        <v>1963.6</v>
      </c>
      <c r="L180" s="3">
        <v>175.24</v>
      </c>
      <c r="M180" s="3">
        <v>1401.92</v>
      </c>
      <c r="N180" s="3">
        <v>561.67999999999995</v>
      </c>
      <c r="O180" s="4">
        <v>0.28604603788959054</v>
      </c>
      <c r="P180" s="3">
        <v>165000</v>
      </c>
    </row>
    <row r="181" spans="1:16">
      <c r="A181" t="s">
        <v>233</v>
      </c>
      <c r="B181" s="2">
        <v>45695</v>
      </c>
      <c r="C181" t="s">
        <v>24</v>
      </c>
      <c r="D181" t="s">
        <v>30</v>
      </c>
      <c r="E181" t="s">
        <v>42</v>
      </c>
      <c r="F181" t="s">
        <v>20</v>
      </c>
      <c r="G181" t="s">
        <v>21</v>
      </c>
      <c r="H181" t="s">
        <v>47</v>
      </c>
      <c r="I181" s="5">
        <v>6</v>
      </c>
      <c r="J181" s="3">
        <v>43.97</v>
      </c>
      <c r="K181" s="3">
        <v>263.82</v>
      </c>
      <c r="L181" s="3">
        <v>24.74</v>
      </c>
      <c r="M181" s="3">
        <v>148.44</v>
      </c>
      <c r="N181" s="3">
        <v>115.38</v>
      </c>
      <c r="O181" s="4">
        <v>0.43734364339322263</v>
      </c>
      <c r="P181" s="3">
        <v>135000</v>
      </c>
    </row>
    <row r="182" spans="1:16">
      <c r="A182" t="s">
        <v>234</v>
      </c>
      <c r="B182" s="2">
        <v>45939</v>
      </c>
      <c r="C182" t="s">
        <v>40</v>
      </c>
      <c r="D182" t="s">
        <v>46</v>
      </c>
      <c r="E182" t="s">
        <v>42</v>
      </c>
      <c r="F182" t="s">
        <v>50</v>
      </c>
      <c r="G182" t="s">
        <v>21</v>
      </c>
      <c r="H182" t="s">
        <v>22</v>
      </c>
      <c r="I182" s="5">
        <v>6</v>
      </c>
      <c r="J182" s="3">
        <v>28.33</v>
      </c>
      <c r="K182" s="3">
        <v>169.98</v>
      </c>
      <c r="L182" s="3">
        <v>14.58</v>
      </c>
      <c r="M182" s="3">
        <v>87.48</v>
      </c>
      <c r="N182" s="3">
        <v>82.5</v>
      </c>
      <c r="O182" s="4">
        <v>0.4853512177903283</v>
      </c>
      <c r="P182" s="3">
        <v>165000</v>
      </c>
    </row>
    <row r="183" spans="1:16">
      <c r="A183" t="s">
        <v>235</v>
      </c>
      <c r="B183" s="2">
        <v>45760</v>
      </c>
      <c r="C183" t="s">
        <v>33</v>
      </c>
      <c r="D183" t="s">
        <v>68</v>
      </c>
      <c r="E183" t="s">
        <v>42</v>
      </c>
      <c r="F183" t="s">
        <v>20</v>
      </c>
      <c r="G183" t="s">
        <v>27</v>
      </c>
      <c r="H183" t="s">
        <v>28</v>
      </c>
      <c r="I183" s="5">
        <v>6</v>
      </c>
      <c r="J183" s="3">
        <v>180.51</v>
      </c>
      <c r="K183" s="3">
        <v>1083.06</v>
      </c>
      <c r="L183" s="3">
        <v>121.7</v>
      </c>
      <c r="M183" s="3">
        <v>730.2</v>
      </c>
      <c r="N183" s="3">
        <v>352.86</v>
      </c>
      <c r="O183" s="4">
        <v>0.3257991247022326</v>
      </c>
      <c r="P183" s="3">
        <v>155000</v>
      </c>
    </row>
    <row r="184" spans="1:16">
      <c r="A184" t="s">
        <v>236</v>
      </c>
      <c r="B184" s="2">
        <v>45724</v>
      </c>
      <c r="C184" t="s">
        <v>17</v>
      </c>
      <c r="D184" t="s">
        <v>18</v>
      </c>
      <c r="E184" t="s">
        <v>26</v>
      </c>
      <c r="F184" t="s">
        <v>43</v>
      </c>
      <c r="G184" t="s">
        <v>27</v>
      </c>
      <c r="H184" t="s">
        <v>55</v>
      </c>
      <c r="I184" s="5">
        <v>7</v>
      </c>
      <c r="J184" s="3">
        <v>662.91</v>
      </c>
      <c r="K184" s="3">
        <v>4640.37</v>
      </c>
      <c r="L184" s="3">
        <v>448.2</v>
      </c>
      <c r="M184" s="3">
        <v>3137.4</v>
      </c>
      <c r="N184" s="3">
        <v>1502.97</v>
      </c>
      <c r="O184" s="4">
        <v>0.32389012083088203</v>
      </c>
      <c r="P184" s="3">
        <v>140000</v>
      </c>
    </row>
    <row r="185" spans="1:16">
      <c r="A185" t="s">
        <v>237</v>
      </c>
      <c r="B185" s="2">
        <v>45695</v>
      </c>
      <c r="C185" t="s">
        <v>33</v>
      </c>
      <c r="D185" t="s">
        <v>34</v>
      </c>
      <c r="E185" t="s">
        <v>19</v>
      </c>
      <c r="F185" t="s">
        <v>20</v>
      </c>
      <c r="G185" t="s">
        <v>27</v>
      </c>
      <c r="H185" t="s">
        <v>28</v>
      </c>
      <c r="I185" s="5">
        <v>6</v>
      </c>
      <c r="J185" s="3">
        <v>167.08</v>
      </c>
      <c r="K185" s="3">
        <v>1002.48</v>
      </c>
      <c r="L185" s="3">
        <v>119.93</v>
      </c>
      <c r="M185" s="3">
        <v>719.58</v>
      </c>
      <c r="N185" s="3">
        <v>282.89999999999998</v>
      </c>
      <c r="O185" s="4">
        <v>0.28220014364376345</v>
      </c>
      <c r="P185" s="3">
        <v>155000</v>
      </c>
    </row>
    <row r="186" spans="1:16">
      <c r="A186" t="s">
        <v>238</v>
      </c>
      <c r="B186" s="2">
        <v>45940</v>
      </c>
      <c r="C186" t="s">
        <v>33</v>
      </c>
      <c r="D186" t="s">
        <v>68</v>
      </c>
      <c r="E186" t="s">
        <v>26</v>
      </c>
      <c r="F186" t="s">
        <v>43</v>
      </c>
      <c r="G186" t="s">
        <v>21</v>
      </c>
      <c r="H186" t="s">
        <v>31</v>
      </c>
      <c r="I186" s="5">
        <v>2</v>
      </c>
      <c r="J186" s="3">
        <v>12.17</v>
      </c>
      <c r="K186" s="3">
        <v>24.34</v>
      </c>
      <c r="L186" s="3">
        <v>5.94</v>
      </c>
      <c r="M186" s="3">
        <v>11.88</v>
      </c>
      <c r="N186" s="3">
        <v>12.46</v>
      </c>
      <c r="O186" s="4">
        <v>0.5119145439605588</v>
      </c>
      <c r="P186" s="3">
        <v>155000</v>
      </c>
    </row>
    <row r="187" spans="1:16">
      <c r="A187" t="s">
        <v>239</v>
      </c>
      <c r="B187" s="2">
        <v>45740</v>
      </c>
      <c r="C187" t="s">
        <v>40</v>
      </c>
      <c r="D187" t="s">
        <v>65</v>
      </c>
      <c r="E187" t="s">
        <v>26</v>
      </c>
      <c r="F187" t="s">
        <v>43</v>
      </c>
      <c r="G187" t="s">
        <v>35</v>
      </c>
      <c r="H187" t="s">
        <v>63</v>
      </c>
      <c r="I187" s="5">
        <v>2</v>
      </c>
      <c r="J187" s="3">
        <v>248.33</v>
      </c>
      <c r="K187" s="3">
        <v>496.66</v>
      </c>
      <c r="L187" s="3">
        <v>184.23</v>
      </c>
      <c r="M187" s="3">
        <v>368.46</v>
      </c>
      <c r="N187" s="3">
        <v>128.19999999999999</v>
      </c>
      <c r="O187" s="4">
        <v>0.25812427012443118</v>
      </c>
      <c r="P187" s="3">
        <v>165000</v>
      </c>
    </row>
    <row r="188" spans="1:16">
      <c r="A188" t="s">
        <v>240</v>
      </c>
      <c r="B188" s="2">
        <v>45940</v>
      </c>
      <c r="C188" t="s">
        <v>40</v>
      </c>
      <c r="D188" t="s">
        <v>65</v>
      </c>
      <c r="E188" t="s">
        <v>19</v>
      </c>
      <c r="F188" t="s">
        <v>50</v>
      </c>
      <c r="G188" t="s">
        <v>21</v>
      </c>
      <c r="H188" t="s">
        <v>47</v>
      </c>
      <c r="I188" s="5">
        <v>3</v>
      </c>
      <c r="J188" s="3">
        <v>43.27</v>
      </c>
      <c r="K188" s="3">
        <v>129.81</v>
      </c>
      <c r="L188" s="3">
        <v>24.43</v>
      </c>
      <c r="M188" s="3">
        <v>73.290000000000006</v>
      </c>
      <c r="N188" s="3">
        <v>56.52</v>
      </c>
      <c r="O188" s="4">
        <v>0.43540559278946156</v>
      </c>
      <c r="P188" s="3">
        <v>165000</v>
      </c>
    </row>
    <row r="189" spans="1:16">
      <c r="A189" t="s">
        <v>241</v>
      </c>
      <c r="B189" s="2">
        <v>45745</v>
      </c>
      <c r="C189" t="s">
        <v>40</v>
      </c>
      <c r="D189" t="s">
        <v>41</v>
      </c>
      <c r="E189" t="s">
        <v>42</v>
      </c>
      <c r="F189" t="s">
        <v>20</v>
      </c>
      <c r="G189" t="s">
        <v>21</v>
      </c>
      <c r="H189" t="s">
        <v>31</v>
      </c>
      <c r="I189" s="5">
        <v>5</v>
      </c>
      <c r="J189" s="3">
        <v>12.52</v>
      </c>
      <c r="K189" s="3">
        <v>62.6</v>
      </c>
      <c r="L189" s="3">
        <v>6.22</v>
      </c>
      <c r="M189" s="3">
        <v>31.1</v>
      </c>
      <c r="N189" s="3">
        <v>31.5</v>
      </c>
      <c r="O189" s="4">
        <v>0.50319488817891378</v>
      </c>
      <c r="P189" s="3">
        <v>165000</v>
      </c>
    </row>
    <row r="190" spans="1:16">
      <c r="A190" t="s">
        <v>242</v>
      </c>
      <c r="B190" s="2">
        <v>45871</v>
      </c>
      <c r="C190" t="s">
        <v>17</v>
      </c>
      <c r="D190" t="s">
        <v>38</v>
      </c>
      <c r="E190" t="s">
        <v>42</v>
      </c>
      <c r="F190" t="s">
        <v>50</v>
      </c>
      <c r="G190" t="s">
        <v>35</v>
      </c>
      <c r="H190" t="s">
        <v>63</v>
      </c>
      <c r="I190" s="5">
        <v>8</v>
      </c>
      <c r="J190" s="3">
        <v>248.01</v>
      </c>
      <c r="K190" s="3">
        <v>1984.08</v>
      </c>
      <c r="L190" s="3">
        <v>187.33</v>
      </c>
      <c r="M190" s="3">
        <v>1498.64</v>
      </c>
      <c r="N190" s="3">
        <v>485.44</v>
      </c>
      <c r="O190" s="4">
        <v>0.24466755372767227</v>
      </c>
      <c r="P190" s="3">
        <v>140000</v>
      </c>
    </row>
    <row r="191" spans="1:16">
      <c r="A191" t="s">
        <v>243</v>
      </c>
      <c r="B191" s="2">
        <v>45865</v>
      </c>
      <c r="C191" t="s">
        <v>40</v>
      </c>
      <c r="D191" t="s">
        <v>57</v>
      </c>
      <c r="E191" t="s">
        <v>26</v>
      </c>
      <c r="F191" t="s">
        <v>20</v>
      </c>
      <c r="G191" t="s">
        <v>27</v>
      </c>
      <c r="H191" t="s">
        <v>55</v>
      </c>
      <c r="I191" s="5">
        <v>7</v>
      </c>
      <c r="J191" s="3">
        <v>624.04999999999995</v>
      </c>
      <c r="K191" s="3">
        <v>4368.3500000000004</v>
      </c>
      <c r="L191" s="3">
        <v>421.57</v>
      </c>
      <c r="M191" s="3">
        <v>2950.99</v>
      </c>
      <c r="N191" s="3">
        <v>1417.36</v>
      </c>
      <c r="O191" s="4">
        <v>0.32446118099511251</v>
      </c>
      <c r="P191" s="3">
        <v>165000</v>
      </c>
    </row>
    <row r="192" spans="1:16">
      <c r="A192" t="s">
        <v>244</v>
      </c>
      <c r="B192" s="2">
        <v>45968</v>
      </c>
      <c r="C192" t="s">
        <v>33</v>
      </c>
      <c r="D192" t="s">
        <v>34</v>
      </c>
      <c r="E192" t="s">
        <v>42</v>
      </c>
      <c r="F192" t="s">
        <v>20</v>
      </c>
      <c r="G192" t="s">
        <v>35</v>
      </c>
      <c r="H192" t="s">
        <v>36</v>
      </c>
      <c r="I192" s="5">
        <v>7</v>
      </c>
      <c r="J192" s="3">
        <v>32.51</v>
      </c>
      <c r="K192" s="3">
        <v>227.57</v>
      </c>
      <c r="L192" s="3">
        <v>17.95</v>
      </c>
      <c r="M192" s="3">
        <v>125.65</v>
      </c>
      <c r="N192" s="3">
        <v>101.92</v>
      </c>
      <c r="O192" s="4">
        <v>0.44786219624730855</v>
      </c>
      <c r="P192" s="3">
        <v>155000</v>
      </c>
    </row>
    <row r="193" spans="1:16">
      <c r="A193" t="s">
        <v>245</v>
      </c>
      <c r="B193" s="2">
        <v>45945</v>
      </c>
      <c r="C193" t="s">
        <v>17</v>
      </c>
      <c r="D193" t="s">
        <v>80</v>
      </c>
      <c r="E193" t="s">
        <v>26</v>
      </c>
      <c r="F193" t="s">
        <v>20</v>
      </c>
      <c r="G193" t="s">
        <v>27</v>
      </c>
      <c r="H193" t="s">
        <v>55</v>
      </c>
      <c r="I193" s="5">
        <v>4</v>
      </c>
      <c r="J193" s="3">
        <v>577.22</v>
      </c>
      <c r="K193" s="3">
        <v>2308.88</v>
      </c>
      <c r="L193" s="3">
        <v>414.98</v>
      </c>
      <c r="M193" s="3">
        <v>1659.92</v>
      </c>
      <c r="N193" s="3">
        <v>648.96</v>
      </c>
      <c r="O193" s="4">
        <v>0.28107134194934341</v>
      </c>
      <c r="P193" s="3">
        <v>140000</v>
      </c>
    </row>
    <row r="194" spans="1:16">
      <c r="A194" t="s">
        <v>246</v>
      </c>
      <c r="B194" s="2">
        <v>45854</v>
      </c>
      <c r="C194" t="s">
        <v>24</v>
      </c>
      <c r="D194" t="s">
        <v>30</v>
      </c>
      <c r="E194" t="s">
        <v>42</v>
      </c>
      <c r="F194" t="s">
        <v>43</v>
      </c>
      <c r="G194" t="s">
        <v>35</v>
      </c>
      <c r="H194" t="s">
        <v>36</v>
      </c>
      <c r="I194" s="5">
        <v>6</v>
      </c>
      <c r="J194" s="3">
        <v>32.96</v>
      </c>
      <c r="K194" s="3">
        <v>197.76</v>
      </c>
      <c r="L194" s="3">
        <v>17.57</v>
      </c>
      <c r="M194" s="3">
        <v>105.42</v>
      </c>
      <c r="N194" s="3">
        <v>92.34</v>
      </c>
      <c r="O194" s="4">
        <v>0.46692961165048547</v>
      </c>
      <c r="P194" s="3">
        <v>135000</v>
      </c>
    </row>
    <row r="195" spans="1:16">
      <c r="A195" t="s">
        <v>247</v>
      </c>
      <c r="B195" s="2">
        <v>45921</v>
      </c>
      <c r="C195" t="s">
        <v>24</v>
      </c>
      <c r="D195" t="s">
        <v>74</v>
      </c>
      <c r="E195" t="s">
        <v>42</v>
      </c>
      <c r="F195" t="s">
        <v>50</v>
      </c>
      <c r="G195" t="s">
        <v>21</v>
      </c>
      <c r="H195" t="s">
        <v>47</v>
      </c>
      <c r="I195" s="5">
        <v>7</v>
      </c>
      <c r="J195" s="3">
        <v>42.47</v>
      </c>
      <c r="K195" s="3">
        <v>297.29000000000002</v>
      </c>
      <c r="L195" s="3">
        <v>25.36</v>
      </c>
      <c r="M195" s="3">
        <v>177.52</v>
      </c>
      <c r="N195" s="3">
        <v>119.77</v>
      </c>
      <c r="O195" s="4">
        <v>0.40287261596420998</v>
      </c>
      <c r="P195" s="3">
        <v>135000</v>
      </c>
    </row>
    <row r="196" spans="1:16">
      <c r="A196" t="s">
        <v>248</v>
      </c>
      <c r="B196" s="2">
        <v>45768</v>
      </c>
      <c r="C196" t="s">
        <v>40</v>
      </c>
      <c r="D196" t="s">
        <v>41</v>
      </c>
      <c r="E196" t="s">
        <v>26</v>
      </c>
      <c r="F196" t="s">
        <v>50</v>
      </c>
      <c r="G196" t="s">
        <v>27</v>
      </c>
      <c r="H196" t="s">
        <v>55</v>
      </c>
      <c r="I196" s="5">
        <v>5</v>
      </c>
      <c r="J196" s="3">
        <v>631.20000000000005</v>
      </c>
      <c r="K196" s="3">
        <v>3156</v>
      </c>
      <c r="L196" s="3">
        <v>449.23</v>
      </c>
      <c r="M196" s="3">
        <v>2246.15</v>
      </c>
      <c r="N196" s="3">
        <v>909.85</v>
      </c>
      <c r="O196" s="4">
        <v>0.28829214195183778</v>
      </c>
      <c r="P196" s="3">
        <v>165000</v>
      </c>
    </row>
    <row r="197" spans="1:16">
      <c r="A197" t="s">
        <v>249</v>
      </c>
      <c r="B197" s="2">
        <v>45878</v>
      </c>
      <c r="C197" t="s">
        <v>33</v>
      </c>
      <c r="D197" t="s">
        <v>34</v>
      </c>
      <c r="E197" t="s">
        <v>19</v>
      </c>
      <c r="F197" t="s">
        <v>50</v>
      </c>
      <c r="G197" t="s">
        <v>35</v>
      </c>
      <c r="H197" t="s">
        <v>36</v>
      </c>
      <c r="I197" s="5">
        <v>1</v>
      </c>
      <c r="J197" s="3">
        <v>34.58</v>
      </c>
      <c r="K197" s="3">
        <v>34.58</v>
      </c>
      <c r="L197" s="3">
        <v>18.309999999999999</v>
      </c>
      <c r="M197" s="3">
        <v>18.309999999999999</v>
      </c>
      <c r="N197" s="3">
        <v>16.27</v>
      </c>
      <c r="O197" s="4">
        <v>0.47050318102949684</v>
      </c>
      <c r="P197" s="3">
        <v>155000</v>
      </c>
    </row>
    <row r="198" spans="1:16">
      <c r="A198" t="s">
        <v>250</v>
      </c>
      <c r="B198" s="2">
        <v>45757</v>
      </c>
      <c r="C198" t="s">
        <v>40</v>
      </c>
      <c r="D198" t="s">
        <v>46</v>
      </c>
      <c r="E198" t="s">
        <v>26</v>
      </c>
      <c r="F198" t="s">
        <v>50</v>
      </c>
      <c r="G198" t="s">
        <v>27</v>
      </c>
      <c r="H198" t="s">
        <v>28</v>
      </c>
      <c r="I198" s="5">
        <v>5</v>
      </c>
      <c r="J198" s="3">
        <v>194.68</v>
      </c>
      <c r="K198" s="3">
        <v>973.4</v>
      </c>
      <c r="L198" s="3">
        <v>117.57</v>
      </c>
      <c r="M198" s="3">
        <v>587.85</v>
      </c>
      <c r="N198" s="3">
        <v>385.55</v>
      </c>
      <c r="O198" s="4">
        <v>0.396085884528457</v>
      </c>
      <c r="P198" s="3">
        <v>165000</v>
      </c>
    </row>
    <row r="199" spans="1:16">
      <c r="A199" t="s">
        <v>251</v>
      </c>
      <c r="B199" s="2">
        <v>45970</v>
      </c>
      <c r="C199" t="s">
        <v>17</v>
      </c>
      <c r="D199" t="s">
        <v>60</v>
      </c>
      <c r="E199" t="s">
        <v>42</v>
      </c>
      <c r="F199" t="s">
        <v>20</v>
      </c>
      <c r="G199" t="s">
        <v>35</v>
      </c>
      <c r="H199" t="s">
        <v>36</v>
      </c>
      <c r="I199" s="5">
        <v>6</v>
      </c>
      <c r="J199" s="3">
        <v>37.31</v>
      </c>
      <c r="K199" s="3">
        <v>223.86</v>
      </c>
      <c r="L199" s="3">
        <v>17.64</v>
      </c>
      <c r="M199" s="3">
        <v>105.84</v>
      </c>
      <c r="N199" s="3">
        <v>118.02</v>
      </c>
      <c r="O199" s="4">
        <v>0.5272045028142589</v>
      </c>
      <c r="P199" s="3">
        <v>140000</v>
      </c>
    </row>
    <row r="200" spans="1:16">
      <c r="A200" t="s">
        <v>252</v>
      </c>
      <c r="B200" s="2">
        <v>45918</v>
      </c>
      <c r="C200" t="s">
        <v>24</v>
      </c>
      <c r="D200" t="s">
        <v>25</v>
      </c>
      <c r="E200" t="s">
        <v>26</v>
      </c>
      <c r="F200" t="s">
        <v>20</v>
      </c>
      <c r="G200" t="s">
        <v>35</v>
      </c>
      <c r="H200" t="s">
        <v>36</v>
      </c>
      <c r="I200" s="5">
        <v>8</v>
      </c>
      <c r="J200" s="3">
        <v>35.5</v>
      </c>
      <c r="K200" s="3">
        <v>284</v>
      </c>
      <c r="L200" s="3">
        <v>17.55</v>
      </c>
      <c r="M200" s="3">
        <v>140.4</v>
      </c>
      <c r="N200" s="3">
        <v>143.6</v>
      </c>
      <c r="O200" s="4">
        <v>0.5056338028169014</v>
      </c>
      <c r="P200" s="3">
        <v>135000</v>
      </c>
    </row>
    <row r="201" spans="1:16">
      <c r="A201" t="s">
        <v>253</v>
      </c>
      <c r="B201" s="2">
        <v>45921</v>
      </c>
      <c r="C201" t="s">
        <v>33</v>
      </c>
      <c r="D201" t="s">
        <v>34</v>
      </c>
      <c r="E201" t="s">
        <v>42</v>
      </c>
      <c r="F201" t="s">
        <v>20</v>
      </c>
      <c r="G201" t="s">
        <v>27</v>
      </c>
      <c r="H201" t="s">
        <v>44</v>
      </c>
      <c r="I201" s="5">
        <v>5</v>
      </c>
      <c r="J201" s="3">
        <v>329.8</v>
      </c>
      <c r="K201" s="3">
        <v>1649</v>
      </c>
      <c r="L201" s="3">
        <v>212.25</v>
      </c>
      <c r="M201" s="3">
        <v>1061.25</v>
      </c>
      <c r="N201" s="3">
        <v>587.75</v>
      </c>
      <c r="O201" s="4">
        <v>0.35642813826561554</v>
      </c>
      <c r="P201" s="3">
        <v>155000</v>
      </c>
    </row>
    <row r="202" spans="1:16">
      <c r="A202" t="s">
        <v>254</v>
      </c>
      <c r="B202" s="2">
        <v>45918</v>
      </c>
      <c r="C202" t="s">
        <v>24</v>
      </c>
      <c r="D202" t="s">
        <v>49</v>
      </c>
      <c r="E202" t="s">
        <v>19</v>
      </c>
      <c r="F202" t="s">
        <v>20</v>
      </c>
      <c r="G202" t="s">
        <v>35</v>
      </c>
      <c r="H202" t="s">
        <v>36</v>
      </c>
      <c r="I202" s="5">
        <v>2</v>
      </c>
      <c r="J202" s="3">
        <v>39.049999999999997</v>
      </c>
      <c r="K202" s="3">
        <v>78.099999999999994</v>
      </c>
      <c r="L202" s="3">
        <v>18.329999999999998</v>
      </c>
      <c r="M202" s="3">
        <v>36.659999999999997</v>
      </c>
      <c r="N202" s="3">
        <v>41.44</v>
      </c>
      <c r="O202" s="4">
        <v>0.53060179257362361</v>
      </c>
      <c r="P202" s="3">
        <v>135000</v>
      </c>
    </row>
    <row r="203" spans="1:16">
      <c r="A203" t="s">
        <v>255</v>
      </c>
      <c r="B203" s="2">
        <v>46010</v>
      </c>
      <c r="C203" t="s">
        <v>17</v>
      </c>
      <c r="D203" t="s">
        <v>38</v>
      </c>
      <c r="E203" t="s">
        <v>26</v>
      </c>
      <c r="F203" t="s">
        <v>50</v>
      </c>
      <c r="G203" t="s">
        <v>35</v>
      </c>
      <c r="H203" t="s">
        <v>58</v>
      </c>
      <c r="I203" s="5">
        <v>1</v>
      </c>
      <c r="J203" s="3">
        <v>976.96</v>
      </c>
      <c r="K203" s="3">
        <v>976.96</v>
      </c>
      <c r="L203" s="3">
        <v>703.48</v>
      </c>
      <c r="M203" s="3">
        <v>703.48</v>
      </c>
      <c r="N203" s="3">
        <v>273.48</v>
      </c>
      <c r="O203" s="4">
        <v>0.27992957746478875</v>
      </c>
      <c r="P203" s="3">
        <v>140000</v>
      </c>
    </row>
    <row r="204" spans="1:16">
      <c r="A204" t="s">
        <v>256</v>
      </c>
      <c r="B204" s="2">
        <v>45980</v>
      </c>
      <c r="C204" t="s">
        <v>24</v>
      </c>
      <c r="D204" t="s">
        <v>30</v>
      </c>
      <c r="E204" t="s">
        <v>42</v>
      </c>
      <c r="F204" t="s">
        <v>20</v>
      </c>
      <c r="G204" t="s">
        <v>21</v>
      </c>
      <c r="H204" t="s">
        <v>47</v>
      </c>
      <c r="I204" s="5">
        <v>4</v>
      </c>
      <c r="J204" s="3">
        <v>37.97</v>
      </c>
      <c r="K204" s="3">
        <v>151.88</v>
      </c>
      <c r="L204" s="3">
        <v>23.79</v>
      </c>
      <c r="M204" s="3">
        <v>95.16</v>
      </c>
      <c r="N204" s="3">
        <v>56.72</v>
      </c>
      <c r="O204" s="4">
        <v>0.37345272583618649</v>
      </c>
      <c r="P204" s="3">
        <v>135000</v>
      </c>
    </row>
    <row r="205" spans="1:16">
      <c r="A205" t="s">
        <v>257</v>
      </c>
      <c r="B205" s="2">
        <v>45735</v>
      </c>
      <c r="C205" t="s">
        <v>24</v>
      </c>
      <c r="D205" t="s">
        <v>30</v>
      </c>
      <c r="E205" t="s">
        <v>26</v>
      </c>
      <c r="F205" t="s">
        <v>50</v>
      </c>
      <c r="G205" t="s">
        <v>27</v>
      </c>
      <c r="H205" t="s">
        <v>55</v>
      </c>
      <c r="I205" s="5">
        <v>1</v>
      </c>
      <c r="J205" s="3">
        <v>654.27</v>
      </c>
      <c r="K205" s="3">
        <v>654.27</v>
      </c>
      <c r="L205" s="3">
        <v>435.1</v>
      </c>
      <c r="M205" s="3">
        <v>435.1</v>
      </c>
      <c r="N205" s="3">
        <v>219.17</v>
      </c>
      <c r="O205" s="4">
        <v>0.33498402800067251</v>
      </c>
      <c r="P205" s="3">
        <v>135000</v>
      </c>
    </row>
    <row r="206" spans="1:16">
      <c r="A206" t="s">
        <v>258</v>
      </c>
      <c r="B206" s="2">
        <v>45945</v>
      </c>
      <c r="C206" t="s">
        <v>40</v>
      </c>
      <c r="D206" t="s">
        <v>57</v>
      </c>
      <c r="E206" t="s">
        <v>19</v>
      </c>
      <c r="F206" t="s">
        <v>20</v>
      </c>
      <c r="G206" t="s">
        <v>21</v>
      </c>
      <c r="H206" t="s">
        <v>22</v>
      </c>
      <c r="I206" s="5">
        <v>8</v>
      </c>
      <c r="J206" s="3">
        <v>30.82</v>
      </c>
      <c r="K206" s="3">
        <v>246.56</v>
      </c>
      <c r="L206" s="3">
        <v>14.91</v>
      </c>
      <c r="M206" s="3">
        <v>119.28</v>
      </c>
      <c r="N206" s="3">
        <v>127.28</v>
      </c>
      <c r="O206" s="4">
        <v>0.51622323166774819</v>
      </c>
      <c r="P206" s="3">
        <v>165000</v>
      </c>
    </row>
    <row r="207" spans="1:16">
      <c r="A207" t="s">
        <v>259</v>
      </c>
      <c r="B207" s="2">
        <v>45839</v>
      </c>
      <c r="C207" t="s">
        <v>40</v>
      </c>
      <c r="D207" t="s">
        <v>57</v>
      </c>
      <c r="E207" t="s">
        <v>26</v>
      </c>
      <c r="F207" t="s">
        <v>20</v>
      </c>
      <c r="G207" t="s">
        <v>27</v>
      </c>
      <c r="H207" t="s">
        <v>28</v>
      </c>
      <c r="I207" s="5">
        <v>5</v>
      </c>
      <c r="J207" s="3">
        <v>170.9</v>
      </c>
      <c r="K207" s="3">
        <v>854.5</v>
      </c>
      <c r="L207" s="3">
        <v>121.59</v>
      </c>
      <c r="M207" s="3">
        <v>607.95000000000005</v>
      </c>
      <c r="N207" s="3">
        <v>246.55</v>
      </c>
      <c r="O207" s="4">
        <v>0.2885313048566413</v>
      </c>
      <c r="P207" s="3">
        <v>165000</v>
      </c>
    </row>
    <row r="208" spans="1:16">
      <c r="A208" t="s">
        <v>260</v>
      </c>
      <c r="B208" s="2">
        <v>45810</v>
      </c>
      <c r="C208" t="s">
        <v>40</v>
      </c>
      <c r="D208" t="s">
        <v>65</v>
      </c>
      <c r="E208" t="s">
        <v>19</v>
      </c>
      <c r="F208" t="s">
        <v>50</v>
      </c>
      <c r="G208" t="s">
        <v>27</v>
      </c>
      <c r="H208" t="s">
        <v>55</v>
      </c>
      <c r="I208" s="5">
        <v>6</v>
      </c>
      <c r="J208" s="3">
        <v>634.45000000000005</v>
      </c>
      <c r="K208" s="3">
        <v>3806.7</v>
      </c>
      <c r="L208" s="3">
        <v>452.98</v>
      </c>
      <c r="M208" s="3">
        <v>2717.88</v>
      </c>
      <c r="N208" s="3">
        <v>1088.82</v>
      </c>
      <c r="O208" s="4">
        <v>0.28602726771219167</v>
      </c>
      <c r="P208" s="3">
        <v>165000</v>
      </c>
    </row>
    <row r="209" spans="1:16">
      <c r="A209" t="s">
        <v>261</v>
      </c>
      <c r="B209" s="2">
        <v>45798</v>
      </c>
      <c r="C209" t="s">
        <v>40</v>
      </c>
      <c r="D209" t="s">
        <v>41</v>
      </c>
      <c r="E209" t="s">
        <v>19</v>
      </c>
      <c r="F209" t="s">
        <v>50</v>
      </c>
      <c r="G209" t="s">
        <v>27</v>
      </c>
      <c r="H209" t="s">
        <v>44</v>
      </c>
      <c r="I209" s="5">
        <v>6</v>
      </c>
      <c r="J209" s="3">
        <v>355.2</v>
      </c>
      <c r="K209" s="3">
        <v>2131.1999999999998</v>
      </c>
      <c r="L209" s="3">
        <v>218.5</v>
      </c>
      <c r="M209" s="3">
        <v>1311</v>
      </c>
      <c r="N209" s="3">
        <v>820.2</v>
      </c>
      <c r="O209" s="4">
        <v>0.38485360360360366</v>
      </c>
      <c r="P209" s="3">
        <v>165000</v>
      </c>
    </row>
    <row r="210" spans="1:16">
      <c r="A210" t="s">
        <v>262</v>
      </c>
      <c r="B210" s="2">
        <v>45806</v>
      </c>
      <c r="C210" t="s">
        <v>17</v>
      </c>
      <c r="D210" t="s">
        <v>80</v>
      </c>
      <c r="E210" t="s">
        <v>42</v>
      </c>
      <c r="F210" t="s">
        <v>20</v>
      </c>
      <c r="G210" t="s">
        <v>27</v>
      </c>
      <c r="H210" t="s">
        <v>55</v>
      </c>
      <c r="I210" s="5">
        <v>5</v>
      </c>
      <c r="J210" s="3">
        <v>659.94</v>
      </c>
      <c r="K210" s="3">
        <v>3299.7</v>
      </c>
      <c r="L210" s="3">
        <v>422</v>
      </c>
      <c r="M210" s="3">
        <v>2110</v>
      </c>
      <c r="N210" s="3">
        <v>1189.7</v>
      </c>
      <c r="O210" s="4">
        <v>0.36054792859956969</v>
      </c>
      <c r="P210" s="3">
        <v>140000</v>
      </c>
    </row>
    <row r="211" spans="1:16">
      <c r="A211" t="s">
        <v>263</v>
      </c>
      <c r="B211" s="2">
        <v>45933</v>
      </c>
      <c r="C211" t="s">
        <v>40</v>
      </c>
      <c r="D211" t="s">
        <v>46</v>
      </c>
      <c r="E211" t="s">
        <v>26</v>
      </c>
      <c r="F211" t="s">
        <v>50</v>
      </c>
      <c r="G211" t="s">
        <v>35</v>
      </c>
      <c r="H211" t="s">
        <v>58</v>
      </c>
      <c r="I211" s="5">
        <v>4</v>
      </c>
      <c r="J211" s="3">
        <v>865.61</v>
      </c>
      <c r="K211" s="3">
        <v>3462.44</v>
      </c>
      <c r="L211" s="3">
        <v>756.37</v>
      </c>
      <c r="M211" s="3">
        <v>3025.48</v>
      </c>
      <c r="N211" s="3">
        <v>436.96</v>
      </c>
      <c r="O211" s="4">
        <v>0.12620002079458414</v>
      </c>
      <c r="P211" s="3">
        <v>165000</v>
      </c>
    </row>
    <row r="212" spans="1:16">
      <c r="A212" t="s">
        <v>264</v>
      </c>
      <c r="B212" s="2">
        <v>45773</v>
      </c>
      <c r="C212" t="s">
        <v>33</v>
      </c>
      <c r="D212" t="s">
        <v>52</v>
      </c>
      <c r="E212" t="s">
        <v>26</v>
      </c>
      <c r="F212" t="s">
        <v>20</v>
      </c>
      <c r="G212" t="s">
        <v>27</v>
      </c>
      <c r="H212" t="s">
        <v>55</v>
      </c>
      <c r="I212" s="5">
        <v>2</v>
      </c>
      <c r="J212" s="3">
        <v>650.91</v>
      </c>
      <c r="K212" s="3">
        <v>1301.82</v>
      </c>
      <c r="L212" s="3">
        <v>418.71</v>
      </c>
      <c r="M212" s="3">
        <v>837.42</v>
      </c>
      <c r="N212" s="3">
        <v>464.4</v>
      </c>
      <c r="O212" s="4">
        <v>0.35673134534728301</v>
      </c>
      <c r="P212" s="3">
        <v>155000</v>
      </c>
    </row>
    <row r="213" spans="1:16">
      <c r="A213" t="s">
        <v>265</v>
      </c>
      <c r="B213" s="2">
        <v>45939</v>
      </c>
      <c r="C213" t="s">
        <v>33</v>
      </c>
      <c r="D213" t="s">
        <v>54</v>
      </c>
      <c r="E213" t="s">
        <v>19</v>
      </c>
      <c r="F213" t="s">
        <v>43</v>
      </c>
      <c r="G213" t="s">
        <v>27</v>
      </c>
      <c r="H213" t="s">
        <v>55</v>
      </c>
      <c r="I213" s="5">
        <v>8</v>
      </c>
      <c r="J213" s="3">
        <v>646.73</v>
      </c>
      <c r="K213" s="3">
        <v>5173.84</v>
      </c>
      <c r="L213" s="3">
        <v>445.3</v>
      </c>
      <c r="M213" s="3">
        <v>3562.4</v>
      </c>
      <c r="N213" s="3">
        <v>1611.44</v>
      </c>
      <c r="O213" s="4">
        <v>0.3114591869868415</v>
      </c>
      <c r="P213" s="3">
        <v>155000</v>
      </c>
    </row>
    <row r="214" spans="1:16">
      <c r="A214" t="s">
        <v>266</v>
      </c>
      <c r="B214" s="2">
        <v>45805</v>
      </c>
      <c r="C214" t="s">
        <v>40</v>
      </c>
      <c r="D214" t="s">
        <v>46</v>
      </c>
      <c r="E214" t="s">
        <v>19</v>
      </c>
      <c r="F214" t="s">
        <v>43</v>
      </c>
      <c r="G214" t="s">
        <v>21</v>
      </c>
      <c r="H214" t="s">
        <v>47</v>
      </c>
      <c r="I214" s="5">
        <v>4</v>
      </c>
      <c r="J214" s="3">
        <v>42.74</v>
      </c>
      <c r="K214" s="3">
        <v>170.96</v>
      </c>
      <c r="L214" s="3">
        <v>24.78</v>
      </c>
      <c r="M214" s="3">
        <v>99.12</v>
      </c>
      <c r="N214" s="3">
        <v>71.84</v>
      </c>
      <c r="O214" s="4">
        <v>0.42021525503041646</v>
      </c>
      <c r="P214" s="3">
        <v>165000</v>
      </c>
    </row>
    <row r="215" spans="1:16">
      <c r="A215" t="s">
        <v>267</v>
      </c>
      <c r="B215" s="2">
        <v>45677</v>
      </c>
      <c r="C215" t="s">
        <v>33</v>
      </c>
      <c r="D215" t="s">
        <v>54</v>
      </c>
      <c r="E215" t="s">
        <v>42</v>
      </c>
      <c r="F215" t="s">
        <v>20</v>
      </c>
      <c r="G215" t="s">
        <v>21</v>
      </c>
      <c r="H215" t="s">
        <v>31</v>
      </c>
      <c r="I215" s="5">
        <v>7</v>
      </c>
      <c r="J215" s="3">
        <v>12.88</v>
      </c>
      <c r="K215" s="3">
        <v>90.16</v>
      </c>
      <c r="L215" s="3">
        <v>5.87</v>
      </c>
      <c r="M215" s="3">
        <v>41.09</v>
      </c>
      <c r="N215" s="3">
        <v>49.07</v>
      </c>
      <c r="O215" s="4">
        <v>0.54425465838509324</v>
      </c>
      <c r="P215" s="3">
        <v>155000</v>
      </c>
    </row>
    <row r="216" spans="1:16">
      <c r="A216" t="s">
        <v>268</v>
      </c>
      <c r="B216" s="2">
        <v>45806</v>
      </c>
      <c r="C216" t="s">
        <v>17</v>
      </c>
      <c r="D216" t="s">
        <v>18</v>
      </c>
      <c r="E216" t="s">
        <v>26</v>
      </c>
      <c r="F216" t="s">
        <v>50</v>
      </c>
      <c r="G216" t="s">
        <v>35</v>
      </c>
      <c r="H216" t="s">
        <v>36</v>
      </c>
      <c r="I216" s="5">
        <v>5</v>
      </c>
      <c r="J216" s="3">
        <v>35</v>
      </c>
      <c r="K216" s="3">
        <v>175</v>
      </c>
      <c r="L216" s="3">
        <v>18.43</v>
      </c>
      <c r="M216" s="3">
        <v>92.15</v>
      </c>
      <c r="N216" s="3">
        <v>82.85</v>
      </c>
      <c r="O216" s="4">
        <v>0.47342857142857142</v>
      </c>
      <c r="P216" s="3">
        <v>140000</v>
      </c>
    </row>
    <row r="217" spans="1:16">
      <c r="A217" t="s">
        <v>269</v>
      </c>
      <c r="B217" s="2">
        <v>45926</v>
      </c>
      <c r="C217" t="s">
        <v>24</v>
      </c>
      <c r="D217" t="s">
        <v>30</v>
      </c>
      <c r="E217" t="s">
        <v>42</v>
      </c>
      <c r="F217" t="s">
        <v>50</v>
      </c>
      <c r="G217" t="s">
        <v>35</v>
      </c>
      <c r="H217" t="s">
        <v>58</v>
      </c>
      <c r="I217" s="5">
        <v>2</v>
      </c>
      <c r="J217" s="3">
        <v>924.11</v>
      </c>
      <c r="K217" s="3">
        <v>1848.22</v>
      </c>
      <c r="L217" s="3">
        <v>743.84</v>
      </c>
      <c r="M217" s="3">
        <v>1487.68</v>
      </c>
      <c r="N217" s="3">
        <v>360.54</v>
      </c>
      <c r="O217" s="4">
        <v>0.19507417948079775</v>
      </c>
      <c r="P217" s="3">
        <v>135000</v>
      </c>
    </row>
    <row r="218" spans="1:16">
      <c r="A218" t="s">
        <v>270</v>
      </c>
      <c r="B218" s="2">
        <v>45989</v>
      </c>
      <c r="C218" t="s">
        <v>40</v>
      </c>
      <c r="D218" t="s">
        <v>65</v>
      </c>
      <c r="E218" t="s">
        <v>26</v>
      </c>
      <c r="F218" t="s">
        <v>20</v>
      </c>
      <c r="G218" t="s">
        <v>35</v>
      </c>
      <c r="H218" t="s">
        <v>63</v>
      </c>
      <c r="I218" s="5">
        <v>4</v>
      </c>
      <c r="J218" s="3">
        <v>244.04</v>
      </c>
      <c r="K218" s="3">
        <v>976.16</v>
      </c>
      <c r="L218" s="3">
        <v>188.21</v>
      </c>
      <c r="M218" s="3">
        <v>752.84</v>
      </c>
      <c r="N218" s="3">
        <v>223.32</v>
      </c>
      <c r="O218" s="4">
        <v>0.22877397148008524</v>
      </c>
      <c r="P218" s="3">
        <v>165000</v>
      </c>
    </row>
    <row r="219" spans="1:16">
      <c r="A219" t="s">
        <v>271</v>
      </c>
      <c r="B219" s="2">
        <v>45865</v>
      </c>
      <c r="C219" t="s">
        <v>24</v>
      </c>
      <c r="D219" t="s">
        <v>49</v>
      </c>
      <c r="E219" t="s">
        <v>26</v>
      </c>
      <c r="F219" t="s">
        <v>50</v>
      </c>
      <c r="G219" t="s">
        <v>21</v>
      </c>
      <c r="H219" t="s">
        <v>22</v>
      </c>
      <c r="I219" s="5">
        <v>3</v>
      </c>
      <c r="J219" s="3">
        <v>28.14</v>
      </c>
      <c r="K219" s="3">
        <v>84.42</v>
      </c>
      <c r="L219" s="3">
        <v>15.8</v>
      </c>
      <c r="M219" s="3">
        <v>47.4</v>
      </c>
      <c r="N219" s="3">
        <v>37.020000000000003</v>
      </c>
      <c r="O219" s="4">
        <v>0.43852167732764752</v>
      </c>
      <c r="P219" s="3">
        <v>135000</v>
      </c>
    </row>
    <row r="220" spans="1:16">
      <c r="A220" t="s">
        <v>272</v>
      </c>
      <c r="B220" s="2">
        <v>45661</v>
      </c>
      <c r="C220" t="s">
        <v>40</v>
      </c>
      <c r="D220" t="s">
        <v>57</v>
      </c>
      <c r="E220" t="s">
        <v>26</v>
      </c>
      <c r="F220" t="s">
        <v>50</v>
      </c>
      <c r="G220" t="s">
        <v>35</v>
      </c>
      <c r="H220" t="s">
        <v>36</v>
      </c>
      <c r="I220" s="5">
        <v>5</v>
      </c>
      <c r="J220" s="3">
        <v>35.979999999999997</v>
      </c>
      <c r="K220" s="3">
        <v>179.9</v>
      </c>
      <c r="L220" s="3">
        <v>18.309999999999999</v>
      </c>
      <c r="M220" s="3">
        <v>91.55</v>
      </c>
      <c r="N220" s="3">
        <v>88.35</v>
      </c>
      <c r="O220" s="4">
        <v>0.49110617009449692</v>
      </c>
      <c r="P220" s="3">
        <v>165000</v>
      </c>
    </row>
    <row r="221" spans="1:16">
      <c r="A221" t="s">
        <v>273</v>
      </c>
      <c r="B221" s="2">
        <v>45791</v>
      </c>
      <c r="C221" t="s">
        <v>40</v>
      </c>
      <c r="D221" t="s">
        <v>65</v>
      </c>
      <c r="E221" t="s">
        <v>26</v>
      </c>
      <c r="F221" t="s">
        <v>20</v>
      </c>
      <c r="G221" t="s">
        <v>35</v>
      </c>
      <c r="H221" t="s">
        <v>63</v>
      </c>
      <c r="I221" s="5">
        <v>3</v>
      </c>
      <c r="J221" s="3">
        <v>257.19</v>
      </c>
      <c r="K221" s="3">
        <v>771.57</v>
      </c>
      <c r="L221" s="3">
        <v>181.85</v>
      </c>
      <c r="M221" s="3">
        <v>545.54999999999995</v>
      </c>
      <c r="N221" s="3">
        <v>226.02</v>
      </c>
      <c r="O221" s="4">
        <v>0.29293518410513625</v>
      </c>
      <c r="P221" s="3">
        <v>165000</v>
      </c>
    </row>
    <row r="222" spans="1:16">
      <c r="A222" t="s">
        <v>274</v>
      </c>
      <c r="B222" s="2">
        <v>46018</v>
      </c>
      <c r="C222" t="s">
        <v>40</v>
      </c>
      <c r="D222" t="s">
        <v>41</v>
      </c>
      <c r="E222" t="s">
        <v>19</v>
      </c>
      <c r="F222" t="s">
        <v>43</v>
      </c>
      <c r="G222" t="s">
        <v>35</v>
      </c>
      <c r="H222" t="s">
        <v>36</v>
      </c>
      <c r="I222" s="5">
        <v>4</v>
      </c>
      <c r="J222" s="3">
        <v>33.19</v>
      </c>
      <c r="K222" s="3">
        <v>132.76</v>
      </c>
      <c r="L222" s="3">
        <v>17.52</v>
      </c>
      <c r="M222" s="3">
        <v>70.08</v>
      </c>
      <c r="N222" s="3">
        <v>62.68</v>
      </c>
      <c r="O222" s="4">
        <v>0.47213015968665262</v>
      </c>
      <c r="P222" s="3">
        <v>165000</v>
      </c>
    </row>
    <row r="223" spans="1:16">
      <c r="A223" t="s">
        <v>275</v>
      </c>
      <c r="B223" s="2">
        <v>45736</v>
      </c>
      <c r="C223" t="s">
        <v>24</v>
      </c>
      <c r="D223" t="s">
        <v>49</v>
      </c>
      <c r="E223" t="s">
        <v>26</v>
      </c>
      <c r="F223" t="s">
        <v>50</v>
      </c>
      <c r="G223" t="s">
        <v>27</v>
      </c>
      <c r="H223" t="s">
        <v>55</v>
      </c>
      <c r="I223" s="5">
        <v>4</v>
      </c>
      <c r="J223" s="3">
        <v>661.92</v>
      </c>
      <c r="K223" s="3">
        <v>2647.68</v>
      </c>
      <c r="L223" s="3">
        <v>442.05</v>
      </c>
      <c r="M223" s="3">
        <v>1768.2</v>
      </c>
      <c r="N223" s="3">
        <v>879.48</v>
      </c>
      <c r="O223" s="4">
        <v>0.33217005076142136</v>
      </c>
      <c r="P223" s="3">
        <v>135000</v>
      </c>
    </row>
    <row r="224" spans="1:16">
      <c r="A224" t="s">
        <v>276</v>
      </c>
      <c r="B224" s="2">
        <v>45963</v>
      </c>
      <c r="C224" t="s">
        <v>17</v>
      </c>
      <c r="D224" t="s">
        <v>38</v>
      </c>
      <c r="E224" t="s">
        <v>19</v>
      </c>
      <c r="F224" t="s">
        <v>20</v>
      </c>
      <c r="G224" t="s">
        <v>21</v>
      </c>
      <c r="H224" t="s">
        <v>47</v>
      </c>
      <c r="I224" s="5">
        <v>1</v>
      </c>
      <c r="J224" s="3">
        <v>45.46</v>
      </c>
      <c r="K224" s="3">
        <v>45.46</v>
      </c>
      <c r="L224" s="3">
        <v>25.21</v>
      </c>
      <c r="M224" s="3">
        <v>25.21</v>
      </c>
      <c r="N224" s="3">
        <v>20.25</v>
      </c>
      <c r="O224" s="4">
        <v>0.44544654641443027</v>
      </c>
      <c r="P224" s="3">
        <v>140000</v>
      </c>
    </row>
    <row r="225" spans="1:16">
      <c r="A225" t="s">
        <v>277</v>
      </c>
      <c r="B225" s="2">
        <v>45761</v>
      </c>
      <c r="C225" t="s">
        <v>33</v>
      </c>
      <c r="D225" t="s">
        <v>68</v>
      </c>
      <c r="E225" t="s">
        <v>26</v>
      </c>
      <c r="F225" t="s">
        <v>50</v>
      </c>
      <c r="G225" t="s">
        <v>21</v>
      </c>
      <c r="H225" t="s">
        <v>47</v>
      </c>
      <c r="I225" s="5">
        <v>4</v>
      </c>
      <c r="J225" s="3">
        <v>44.42</v>
      </c>
      <c r="K225" s="3">
        <v>177.68</v>
      </c>
      <c r="L225" s="3">
        <v>24.21</v>
      </c>
      <c r="M225" s="3">
        <v>96.84</v>
      </c>
      <c r="N225" s="3">
        <v>80.84</v>
      </c>
      <c r="O225" s="4">
        <v>0.45497523638000903</v>
      </c>
      <c r="P225" s="3">
        <v>155000</v>
      </c>
    </row>
    <row r="226" spans="1:16">
      <c r="A226" t="s">
        <v>278</v>
      </c>
      <c r="B226" s="2">
        <v>45919</v>
      </c>
      <c r="C226" t="s">
        <v>24</v>
      </c>
      <c r="D226" t="s">
        <v>25</v>
      </c>
      <c r="E226" t="s">
        <v>19</v>
      </c>
      <c r="F226" t="s">
        <v>50</v>
      </c>
      <c r="G226" t="s">
        <v>27</v>
      </c>
      <c r="H226" t="s">
        <v>55</v>
      </c>
      <c r="I226" s="5">
        <v>1</v>
      </c>
      <c r="J226" s="3">
        <v>634.22</v>
      </c>
      <c r="K226" s="3">
        <v>634.22</v>
      </c>
      <c r="L226" s="3">
        <v>441.73</v>
      </c>
      <c r="M226" s="3">
        <v>441.73</v>
      </c>
      <c r="N226" s="3">
        <v>192.49</v>
      </c>
      <c r="O226" s="4">
        <v>0.30350666960991451</v>
      </c>
      <c r="P226" s="3">
        <v>135000</v>
      </c>
    </row>
    <row r="227" spans="1:16">
      <c r="A227" t="s">
        <v>279</v>
      </c>
      <c r="B227" s="2">
        <v>45815</v>
      </c>
      <c r="C227" t="s">
        <v>17</v>
      </c>
      <c r="D227" t="s">
        <v>38</v>
      </c>
      <c r="E227" t="s">
        <v>26</v>
      </c>
      <c r="F227" t="s">
        <v>20</v>
      </c>
      <c r="G227" t="s">
        <v>35</v>
      </c>
      <c r="H227" t="s">
        <v>58</v>
      </c>
      <c r="I227" s="5">
        <v>2</v>
      </c>
      <c r="J227" s="3">
        <v>864.47</v>
      </c>
      <c r="K227" s="3">
        <v>1728.94</v>
      </c>
      <c r="L227" s="3">
        <v>716.01</v>
      </c>
      <c r="M227" s="3">
        <v>1432.02</v>
      </c>
      <c r="N227" s="3">
        <v>296.92</v>
      </c>
      <c r="O227" s="4">
        <v>0.17173528289009451</v>
      </c>
      <c r="P227" s="3">
        <v>140000</v>
      </c>
    </row>
    <row r="228" spans="1:16">
      <c r="A228" t="s">
        <v>280</v>
      </c>
      <c r="B228" s="2">
        <v>45690</v>
      </c>
      <c r="C228" t="s">
        <v>17</v>
      </c>
      <c r="D228" t="s">
        <v>18</v>
      </c>
      <c r="E228" t="s">
        <v>42</v>
      </c>
      <c r="F228" t="s">
        <v>50</v>
      </c>
      <c r="G228" t="s">
        <v>35</v>
      </c>
      <c r="H228" t="s">
        <v>63</v>
      </c>
      <c r="I228" s="5">
        <v>7</v>
      </c>
      <c r="J228" s="3">
        <v>244.29</v>
      </c>
      <c r="K228" s="3">
        <v>1710.03</v>
      </c>
      <c r="L228" s="3">
        <v>175.24</v>
      </c>
      <c r="M228" s="3">
        <v>1226.68</v>
      </c>
      <c r="N228" s="3">
        <v>483.35</v>
      </c>
      <c r="O228" s="4">
        <v>0.28265585983871627</v>
      </c>
      <c r="P228" s="3">
        <v>140000</v>
      </c>
    </row>
    <row r="229" spans="1:16">
      <c r="A229" t="s">
        <v>281</v>
      </c>
      <c r="B229" s="2">
        <v>45986</v>
      </c>
      <c r="C229" t="s">
        <v>24</v>
      </c>
      <c r="D229" t="s">
        <v>49</v>
      </c>
      <c r="E229" t="s">
        <v>42</v>
      </c>
      <c r="F229" t="s">
        <v>20</v>
      </c>
      <c r="G229" t="s">
        <v>27</v>
      </c>
      <c r="H229" t="s">
        <v>44</v>
      </c>
      <c r="I229" s="5">
        <v>7</v>
      </c>
      <c r="J229" s="3">
        <v>293.64999999999998</v>
      </c>
      <c r="K229" s="3">
        <v>2055.5500000000002</v>
      </c>
      <c r="L229" s="3">
        <v>221.85</v>
      </c>
      <c r="M229" s="3">
        <v>1552.95</v>
      </c>
      <c r="N229" s="3">
        <v>502.6</v>
      </c>
      <c r="O229" s="4">
        <v>0.24450876894261875</v>
      </c>
      <c r="P229" s="3">
        <v>135000</v>
      </c>
    </row>
    <row r="230" spans="1:16">
      <c r="A230" t="s">
        <v>282</v>
      </c>
      <c r="B230" s="2">
        <v>45934</v>
      </c>
      <c r="C230" t="s">
        <v>33</v>
      </c>
      <c r="D230" t="s">
        <v>34</v>
      </c>
      <c r="E230" t="s">
        <v>26</v>
      </c>
      <c r="F230" t="s">
        <v>43</v>
      </c>
      <c r="G230" t="s">
        <v>27</v>
      </c>
      <c r="H230" t="s">
        <v>44</v>
      </c>
      <c r="I230" s="5">
        <v>3</v>
      </c>
      <c r="J230" s="3">
        <v>339.24</v>
      </c>
      <c r="K230" s="3">
        <v>1017.72</v>
      </c>
      <c r="L230" s="3">
        <v>206.28</v>
      </c>
      <c r="M230" s="3">
        <v>618.84</v>
      </c>
      <c r="N230" s="3">
        <v>398.88</v>
      </c>
      <c r="O230" s="4">
        <v>0.39193491333569153</v>
      </c>
      <c r="P230" s="3">
        <v>155000</v>
      </c>
    </row>
    <row r="231" spans="1:16">
      <c r="A231" t="s">
        <v>283</v>
      </c>
      <c r="B231" s="2">
        <v>45659</v>
      </c>
      <c r="C231" t="s">
        <v>17</v>
      </c>
      <c r="D231" t="s">
        <v>80</v>
      </c>
      <c r="E231" t="s">
        <v>19</v>
      </c>
      <c r="F231" t="s">
        <v>50</v>
      </c>
      <c r="G231" t="s">
        <v>27</v>
      </c>
      <c r="H231" t="s">
        <v>44</v>
      </c>
      <c r="I231" s="5">
        <v>7</v>
      </c>
      <c r="J231" s="3">
        <v>345.96</v>
      </c>
      <c r="K231" s="3">
        <v>2421.7199999999998</v>
      </c>
      <c r="L231" s="3">
        <v>206.8</v>
      </c>
      <c r="M231" s="3">
        <v>1447.6</v>
      </c>
      <c r="N231" s="3">
        <v>974.12</v>
      </c>
      <c r="O231" s="4">
        <v>0.40224303387674881</v>
      </c>
      <c r="P231" s="3">
        <v>140000</v>
      </c>
    </row>
    <row r="232" spans="1:16">
      <c r="A232" t="s">
        <v>284</v>
      </c>
      <c r="B232" s="2">
        <v>45835</v>
      </c>
      <c r="C232" t="s">
        <v>33</v>
      </c>
      <c r="D232" t="s">
        <v>34</v>
      </c>
      <c r="E232" t="s">
        <v>26</v>
      </c>
      <c r="F232" t="s">
        <v>43</v>
      </c>
      <c r="G232" t="s">
        <v>21</v>
      </c>
      <c r="H232" t="s">
        <v>47</v>
      </c>
      <c r="I232" s="5">
        <v>1</v>
      </c>
      <c r="J232" s="3">
        <v>45.28</v>
      </c>
      <c r="K232" s="3">
        <v>45.28</v>
      </c>
      <c r="L232" s="3">
        <v>24.05</v>
      </c>
      <c r="M232" s="3">
        <v>24.05</v>
      </c>
      <c r="N232" s="3">
        <v>21.23</v>
      </c>
      <c r="O232" s="4">
        <v>0.46886042402826855</v>
      </c>
      <c r="P232" s="3">
        <v>155000</v>
      </c>
    </row>
    <row r="233" spans="1:16">
      <c r="A233" t="s">
        <v>285</v>
      </c>
      <c r="B233" s="2">
        <v>45666</v>
      </c>
      <c r="C233" t="s">
        <v>33</v>
      </c>
      <c r="D233" t="s">
        <v>68</v>
      </c>
      <c r="E233" t="s">
        <v>26</v>
      </c>
      <c r="F233" t="s">
        <v>50</v>
      </c>
      <c r="G233" t="s">
        <v>27</v>
      </c>
      <c r="H233" t="s">
        <v>55</v>
      </c>
      <c r="I233" s="5">
        <v>1</v>
      </c>
      <c r="J233" s="3">
        <v>591.38</v>
      </c>
      <c r="K233" s="3">
        <v>591.38</v>
      </c>
      <c r="L233" s="3">
        <v>414.7</v>
      </c>
      <c r="M233" s="3">
        <v>414.7</v>
      </c>
      <c r="N233" s="3">
        <v>176.68</v>
      </c>
      <c r="O233" s="4">
        <v>0.29875883526666441</v>
      </c>
      <c r="P233" s="3">
        <v>155000</v>
      </c>
    </row>
    <row r="234" spans="1:16">
      <c r="A234" t="s">
        <v>286</v>
      </c>
      <c r="B234" s="2">
        <v>45882</v>
      </c>
      <c r="C234" t="s">
        <v>33</v>
      </c>
      <c r="D234" t="s">
        <v>68</v>
      </c>
      <c r="E234" t="s">
        <v>42</v>
      </c>
      <c r="F234" t="s">
        <v>50</v>
      </c>
      <c r="G234" t="s">
        <v>21</v>
      </c>
      <c r="H234" t="s">
        <v>22</v>
      </c>
      <c r="I234" s="5">
        <v>5</v>
      </c>
      <c r="J234" s="3">
        <v>26.64</v>
      </c>
      <c r="K234" s="3">
        <v>133.19999999999999</v>
      </c>
      <c r="L234" s="3">
        <v>15.77</v>
      </c>
      <c r="M234" s="3">
        <v>78.849999999999994</v>
      </c>
      <c r="N234" s="3">
        <v>54.35</v>
      </c>
      <c r="O234" s="4">
        <v>0.40803303303303307</v>
      </c>
      <c r="P234" s="3">
        <v>155000</v>
      </c>
    </row>
    <row r="235" spans="1:16">
      <c r="A235" t="s">
        <v>287</v>
      </c>
      <c r="B235" s="2">
        <v>45952</v>
      </c>
      <c r="C235" t="s">
        <v>40</v>
      </c>
      <c r="D235" t="s">
        <v>46</v>
      </c>
      <c r="E235" t="s">
        <v>26</v>
      </c>
      <c r="F235" t="s">
        <v>43</v>
      </c>
      <c r="G235" t="s">
        <v>27</v>
      </c>
      <c r="H235" t="s">
        <v>28</v>
      </c>
      <c r="I235" s="5">
        <v>4</v>
      </c>
      <c r="J235" s="3">
        <v>178.38</v>
      </c>
      <c r="K235" s="3">
        <v>713.52</v>
      </c>
      <c r="L235" s="3">
        <v>113.56</v>
      </c>
      <c r="M235" s="3">
        <v>454.24</v>
      </c>
      <c r="N235" s="3">
        <v>259.27999999999997</v>
      </c>
      <c r="O235" s="4">
        <v>0.36338154501625741</v>
      </c>
      <c r="P235" s="3">
        <v>165000</v>
      </c>
    </row>
    <row r="236" spans="1:16">
      <c r="A236" t="s">
        <v>288</v>
      </c>
      <c r="B236" s="2">
        <v>45943</v>
      </c>
      <c r="C236" t="s">
        <v>33</v>
      </c>
      <c r="D236" t="s">
        <v>54</v>
      </c>
      <c r="E236" t="s">
        <v>19</v>
      </c>
      <c r="F236" t="s">
        <v>20</v>
      </c>
      <c r="G236" t="s">
        <v>35</v>
      </c>
      <c r="H236" t="s">
        <v>36</v>
      </c>
      <c r="I236" s="5">
        <v>7</v>
      </c>
      <c r="J236" s="3">
        <v>37.549999999999997</v>
      </c>
      <c r="K236" s="3">
        <v>262.85000000000002</v>
      </c>
      <c r="L236" s="3">
        <v>17.850000000000001</v>
      </c>
      <c r="M236" s="3">
        <v>124.95</v>
      </c>
      <c r="N236" s="3">
        <v>137.9</v>
      </c>
      <c r="O236" s="4">
        <v>0.52463382157123828</v>
      </c>
      <c r="P236" s="3">
        <v>155000</v>
      </c>
    </row>
    <row r="237" spans="1:16">
      <c r="A237" t="s">
        <v>289</v>
      </c>
      <c r="B237" s="2">
        <v>45871</v>
      </c>
      <c r="C237" t="s">
        <v>24</v>
      </c>
      <c r="D237" t="s">
        <v>30</v>
      </c>
      <c r="E237" t="s">
        <v>26</v>
      </c>
      <c r="F237" t="s">
        <v>20</v>
      </c>
      <c r="G237" t="s">
        <v>27</v>
      </c>
      <c r="H237" t="s">
        <v>28</v>
      </c>
      <c r="I237" s="5">
        <v>8</v>
      </c>
      <c r="J237" s="3">
        <v>171.54</v>
      </c>
      <c r="K237" s="3">
        <v>1372.32</v>
      </c>
      <c r="L237" s="3">
        <v>112.99</v>
      </c>
      <c r="M237" s="3">
        <v>903.92</v>
      </c>
      <c r="N237" s="3">
        <v>468.4</v>
      </c>
      <c r="O237" s="4">
        <v>0.34131980879095253</v>
      </c>
      <c r="P237" s="3">
        <v>135000</v>
      </c>
    </row>
    <row r="238" spans="1:16">
      <c r="A238" t="s">
        <v>290</v>
      </c>
      <c r="B238" s="2">
        <v>46020</v>
      </c>
      <c r="C238" t="s">
        <v>33</v>
      </c>
      <c r="D238" t="s">
        <v>54</v>
      </c>
      <c r="E238" t="s">
        <v>42</v>
      </c>
      <c r="F238" t="s">
        <v>50</v>
      </c>
      <c r="G238" t="s">
        <v>27</v>
      </c>
      <c r="H238" t="s">
        <v>44</v>
      </c>
      <c r="I238" s="5">
        <v>3</v>
      </c>
      <c r="J238" s="3">
        <v>315.33999999999997</v>
      </c>
      <c r="K238" s="3">
        <v>946.02</v>
      </c>
      <c r="L238" s="3">
        <v>206.95</v>
      </c>
      <c r="M238" s="3">
        <v>620.85</v>
      </c>
      <c r="N238" s="3">
        <v>325.17</v>
      </c>
      <c r="O238" s="4">
        <v>0.34372423415995434</v>
      </c>
      <c r="P238" s="3">
        <v>155000</v>
      </c>
    </row>
    <row r="239" spans="1:16">
      <c r="A239" t="s">
        <v>291</v>
      </c>
      <c r="B239" s="2">
        <v>45827</v>
      </c>
      <c r="C239" t="s">
        <v>17</v>
      </c>
      <c r="D239" t="s">
        <v>38</v>
      </c>
      <c r="E239" t="s">
        <v>42</v>
      </c>
      <c r="F239" t="s">
        <v>20</v>
      </c>
      <c r="G239" t="s">
        <v>35</v>
      </c>
      <c r="H239" t="s">
        <v>58</v>
      </c>
      <c r="I239" s="5">
        <v>1</v>
      </c>
      <c r="J239" s="3">
        <v>911.11</v>
      </c>
      <c r="K239" s="3">
        <v>911.11</v>
      </c>
      <c r="L239" s="3">
        <v>739.7</v>
      </c>
      <c r="M239" s="3">
        <v>739.7</v>
      </c>
      <c r="N239" s="3">
        <v>171.41</v>
      </c>
      <c r="O239" s="4">
        <v>0.18813315625994664</v>
      </c>
      <c r="P239" s="3">
        <v>140000</v>
      </c>
    </row>
    <row r="240" spans="1:16">
      <c r="A240" t="s">
        <v>292</v>
      </c>
      <c r="B240" s="2">
        <v>45966</v>
      </c>
      <c r="C240" t="s">
        <v>17</v>
      </c>
      <c r="D240" t="s">
        <v>18</v>
      </c>
      <c r="E240" t="s">
        <v>26</v>
      </c>
      <c r="F240" t="s">
        <v>50</v>
      </c>
      <c r="G240" t="s">
        <v>27</v>
      </c>
      <c r="H240" t="s">
        <v>28</v>
      </c>
      <c r="I240" s="5">
        <v>4</v>
      </c>
      <c r="J240" s="3">
        <v>180.98</v>
      </c>
      <c r="K240" s="3">
        <v>723.92</v>
      </c>
      <c r="L240" s="3">
        <v>120.4</v>
      </c>
      <c r="M240" s="3">
        <v>481.6</v>
      </c>
      <c r="N240" s="3">
        <v>242.32</v>
      </c>
      <c r="O240" s="4">
        <v>0.3347331196817328</v>
      </c>
      <c r="P240" s="3">
        <v>140000</v>
      </c>
    </row>
    <row r="241" spans="1:16">
      <c r="A241" t="s">
        <v>293</v>
      </c>
      <c r="B241" s="2">
        <v>45828</v>
      </c>
      <c r="C241" t="s">
        <v>40</v>
      </c>
      <c r="D241" t="s">
        <v>41</v>
      </c>
      <c r="E241" t="s">
        <v>26</v>
      </c>
      <c r="F241" t="s">
        <v>20</v>
      </c>
      <c r="G241" t="s">
        <v>21</v>
      </c>
      <c r="H241" t="s">
        <v>47</v>
      </c>
      <c r="I241" s="5">
        <v>8</v>
      </c>
      <c r="J241" s="3">
        <v>46.25</v>
      </c>
      <c r="K241" s="3">
        <v>370</v>
      </c>
      <c r="L241" s="3">
        <v>24.71</v>
      </c>
      <c r="M241" s="3">
        <v>197.68</v>
      </c>
      <c r="N241" s="3">
        <v>172.32</v>
      </c>
      <c r="O241" s="4">
        <v>0.4657297297297297</v>
      </c>
      <c r="P241" s="3">
        <v>165000</v>
      </c>
    </row>
    <row r="242" spans="1:16">
      <c r="A242" t="s">
        <v>294</v>
      </c>
      <c r="B242" s="2">
        <v>46018</v>
      </c>
      <c r="C242" t="s">
        <v>33</v>
      </c>
      <c r="D242" t="s">
        <v>54</v>
      </c>
      <c r="E242" t="s">
        <v>42</v>
      </c>
      <c r="F242" t="s">
        <v>50</v>
      </c>
      <c r="G242" t="s">
        <v>35</v>
      </c>
      <c r="H242" t="s">
        <v>63</v>
      </c>
      <c r="I242" s="5">
        <v>7</v>
      </c>
      <c r="J242" s="3">
        <v>260.67</v>
      </c>
      <c r="K242" s="3">
        <v>1824.69</v>
      </c>
      <c r="L242" s="3">
        <v>184.48</v>
      </c>
      <c r="M242" s="3">
        <v>1291.3599999999999</v>
      </c>
      <c r="N242" s="3">
        <v>533.33000000000004</v>
      </c>
      <c r="O242" s="4">
        <v>0.29228526489431084</v>
      </c>
      <c r="P242" s="3">
        <v>155000</v>
      </c>
    </row>
    <row r="243" spans="1:16">
      <c r="A243" t="s">
        <v>295</v>
      </c>
      <c r="B243" s="2">
        <v>45815</v>
      </c>
      <c r="C243" t="s">
        <v>40</v>
      </c>
      <c r="D243" t="s">
        <v>46</v>
      </c>
      <c r="E243" t="s">
        <v>19</v>
      </c>
      <c r="F243" t="s">
        <v>50</v>
      </c>
      <c r="G243" t="s">
        <v>21</v>
      </c>
      <c r="H243" t="s">
        <v>47</v>
      </c>
      <c r="I243" s="5">
        <v>8</v>
      </c>
      <c r="J243" s="3">
        <v>44.84</v>
      </c>
      <c r="K243" s="3">
        <v>358.72</v>
      </c>
      <c r="L243" s="3">
        <v>23.81</v>
      </c>
      <c r="M243" s="3">
        <v>190.48</v>
      </c>
      <c r="N243" s="3">
        <v>168.24</v>
      </c>
      <c r="O243" s="4">
        <v>0.46900089206066009</v>
      </c>
      <c r="P243" s="3">
        <v>165000</v>
      </c>
    </row>
    <row r="244" spans="1:16">
      <c r="A244" t="s">
        <v>296</v>
      </c>
      <c r="B244" s="2">
        <v>45762</v>
      </c>
      <c r="C244" t="s">
        <v>40</v>
      </c>
      <c r="D244" t="s">
        <v>46</v>
      </c>
      <c r="E244" t="s">
        <v>26</v>
      </c>
      <c r="F244" t="s">
        <v>50</v>
      </c>
      <c r="G244" t="s">
        <v>35</v>
      </c>
      <c r="H244" t="s">
        <v>58</v>
      </c>
      <c r="I244" s="5">
        <v>3</v>
      </c>
      <c r="J244" s="3">
        <v>858.39</v>
      </c>
      <c r="K244" s="3">
        <v>2575.17</v>
      </c>
      <c r="L244" s="3">
        <v>731.04</v>
      </c>
      <c r="M244" s="3">
        <v>2193.12</v>
      </c>
      <c r="N244" s="3">
        <v>382.05</v>
      </c>
      <c r="O244" s="4">
        <v>0.14835913745500298</v>
      </c>
      <c r="P244" s="3">
        <v>165000</v>
      </c>
    </row>
    <row r="245" spans="1:16">
      <c r="A245" t="s">
        <v>297</v>
      </c>
      <c r="B245" s="2">
        <v>45957</v>
      </c>
      <c r="C245" t="s">
        <v>24</v>
      </c>
      <c r="D245" t="s">
        <v>49</v>
      </c>
      <c r="E245" t="s">
        <v>26</v>
      </c>
      <c r="F245" t="s">
        <v>20</v>
      </c>
      <c r="G245" t="s">
        <v>27</v>
      </c>
      <c r="H245" t="s">
        <v>44</v>
      </c>
      <c r="I245" s="5">
        <v>4</v>
      </c>
      <c r="J245" s="3">
        <v>323.14999999999998</v>
      </c>
      <c r="K245" s="3">
        <v>1292.5999999999999</v>
      </c>
      <c r="L245" s="3">
        <v>215.35</v>
      </c>
      <c r="M245" s="3">
        <v>861.4</v>
      </c>
      <c r="N245" s="3">
        <v>431.2</v>
      </c>
      <c r="O245" s="4">
        <v>0.33359121151168192</v>
      </c>
      <c r="P245" s="3">
        <v>135000</v>
      </c>
    </row>
    <row r="246" spans="1:16">
      <c r="A246" t="s">
        <v>298</v>
      </c>
      <c r="B246" s="2">
        <v>46008</v>
      </c>
      <c r="C246" t="s">
        <v>40</v>
      </c>
      <c r="D246" t="s">
        <v>46</v>
      </c>
      <c r="E246" t="s">
        <v>42</v>
      </c>
      <c r="F246" t="s">
        <v>50</v>
      </c>
      <c r="G246" t="s">
        <v>27</v>
      </c>
      <c r="H246" t="s">
        <v>55</v>
      </c>
      <c r="I246" s="5">
        <v>8</v>
      </c>
      <c r="J246" s="3">
        <v>580.95000000000005</v>
      </c>
      <c r="K246" s="3">
        <v>4647.6000000000004</v>
      </c>
      <c r="L246" s="3">
        <v>446.98</v>
      </c>
      <c r="M246" s="3">
        <v>3575.84</v>
      </c>
      <c r="N246" s="3">
        <v>1071.76</v>
      </c>
      <c r="O246" s="4">
        <v>0.23060504346329286</v>
      </c>
      <c r="P246" s="3">
        <v>165000</v>
      </c>
    </row>
    <row r="247" spans="1:16">
      <c r="A247" t="s">
        <v>299</v>
      </c>
      <c r="B247" s="2">
        <v>45744</v>
      </c>
      <c r="C247" t="s">
        <v>33</v>
      </c>
      <c r="D247" t="s">
        <v>54</v>
      </c>
      <c r="E247" t="s">
        <v>26</v>
      </c>
      <c r="F247" t="s">
        <v>43</v>
      </c>
      <c r="G247" t="s">
        <v>21</v>
      </c>
      <c r="H247" t="s">
        <v>31</v>
      </c>
      <c r="I247" s="5">
        <v>1</v>
      </c>
      <c r="J247" s="3">
        <v>13.02</v>
      </c>
      <c r="K247" s="3">
        <v>13.02</v>
      </c>
      <c r="L247" s="3">
        <v>5.8</v>
      </c>
      <c r="M247" s="3">
        <v>5.8</v>
      </c>
      <c r="N247" s="3">
        <v>7.22</v>
      </c>
      <c r="O247" s="4">
        <v>0.55453149001536095</v>
      </c>
      <c r="P247" s="3">
        <v>155000</v>
      </c>
    </row>
    <row r="248" spans="1:16">
      <c r="A248" t="s">
        <v>300</v>
      </c>
      <c r="B248" s="2">
        <v>46000</v>
      </c>
      <c r="C248" t="s">
        <v>17</v>
      </c>
      <c r="D248" t="s">
        <v>18</v>
      </c>
      <c r="E248" t="s">
        <v>26</v>
      </c>
      <c r="F248" t="s">
        <v>43</v>
      </c>
      <c r="G248" t="s">
        <v>35</v>
      </c>
      <c r="H248" t="s">
        <v>58</v>
      </c>
      <c r="I248" s="5">
        <v>2</v>
      </c>
      <c r="J248" s="3">
        <v>1002.8</v>
      </c>
      <c r="K248" s="3">
        <v>2005.6</v>
      </c>
      <c r="L248" s="3">
        <v>691.86</v>
      </c>
      <c r="M248" s="3">
        <v>1383.72</v>
      </c>
      <c r="N248" s="3">
        <v>621.88</v>
      </c>
      <c r="O248" s="4">
        <v>0.31007179896290388</v>
      </c>
      <c r="P248" s="3">
        <v>140000</v>
      </c>
    </row>
    <row r="249" spans="1:16">
      <c r="A249" t="s">
        <v>301</v>
      </c>
      <c r="B249" s="2">
        <v>45916</v>
      </c>
      <c r="C249" t="s">
        <v>24</v>
      </c>
      <c r="D249" t="s">
        <v>49</v>
      </c>
      <c r="E249" t="s">
        <v>26</v>
      </c>
      <c r="F249" t="s">
        <v>50</v>
      </c>
      <c r="G249" t="s">
        <v>27</v>
      </c>
      <c r="H249" t="s">
        <v>55</v>
      </c>
      <c r="I249" s="5">
        <v>8</v>
      </c>
      <c r="J249" s="3">
        <v>560.15</v>
      </c>
      <c r="K249" s="3">
        <v>4481.2</v>
      </c>
      <c r="L249" s="3">
        <v>435.69</v>
      </c>
      <c r="M249" s="3">
        <v>3485.52</v>
      </c>
      <c r="N249" s="3">
        <v>995.68</v>
      </c>
      <c r="O249" s="4">
        <v>0.22219048469160046</v>
      </c>
      <c r="P249" s="3">
        <v>135000</v>
      </c>
    </row>
    <row r="250" spans="1:16">
      <c r="A250" t="s">
        <v>302</v>
      </c>
      <c r="B250" s="2">
        <v>45868</v>
      </c>
      <c r="C250" t="s">
        <v>17</v>
      </c>
      <c r="D250" t="s">
        <v>18</v>
      </c>
      <c r="E250" t="s">
        <v>19</v>
      </c>
      <c r="F250" t="s">
        <v>20</v>
      </c>
      <c r="G250" t="s">
        <v>35</v>
      </c>
      <c r="H250" t="s">
        <v>63</v>
      </c>
      <c r="I250" s="5">
        <v>1</v>
      </c>
      <c r="J250" s="3">
        <v>262.73</v>
      </c>
      <c r="K250" s="3">
        <v>262.73</v>
      </c>
      <c r="L250" s="3">
        <v>185.36</v>
      </c>
      <c r="M250" s="3">
        <v>185.36</v>
      </c>
      <c r="N250" s="3">
        <v>77.37</v>
      </c>
      <c r="O250" s="4">
        <v>0.2944848323373806</v>
      </c>
      <c r="P250" s="3">
        <v>140000</v>
      </c>
    </row>
    <row r="251" spans="1:16">
      <c r="A251" t="s">
        <v>303</v>
      </c>
      <c r="B251" s="2">
        <v>45878</v>
      </c>
      <c r="C251" t="s">
        <v>33</v>
      </c>
      <c r="D251" t="s">
        <v>52</v>
      </c>
      <c r="E251" t="s">
        <v>42</v>
      </c>
      <c r="F251" t="s">
        <v>50</v>
      </c>
      <c r="G251" t="s">
        <v>35</v>
      </c>
      <c r="H251" t="s">
        <v>58</v>
      </c>
      <c r="I251" s="5">
        <v>4</v>
      </c>
      <c r="J251" s="3">
        <v>984.53</v>
      </c>
      <c r="K251" s="3">
        <v>3938.12</v>
      </c>
      <c r="L251" s="3">
        <v>709.37</v>
      </c>
      <c r="M251" s="3">
        <v>2837.48</v>
      </c>
      <c r="N251" s="3">
        <v>1100.6400000000001</v>
      </c>
      <c r="O251" s="4">
        <v>0.27948361146943212</v>
      </c>
      <c r="P251" s="3">
        <v>155000</v>
      </c>
    </row>
    <row r="252" spans="1:16">
      <c r="A252" t="s">
        <v>304</v>
      </c>
      <c r="B252" s="2">
        <v>45839</v>
      </c>
      <c r="C252" t="s">
        <v>40</v>
      </c>
      <c r="D252" t="s">
        <v>57</v>
      </c>
      <c r="E252" t="s">
        <v>26</v>
      </c>
      <c r="F252" t="s">
        <v>43</v>
      </c>
      <c r="G252" t="s">
        <v>27</v>
      </c>
      <c r="H252" t="s">
        <v>55</v>
      </c>
      <c r="I252" s="5">
        <v>4</v>
      </c>
      <c r="J252" s="3">
        <v>693.07</v>
      </c>
      <c r="K252" s="3">
        <v>2772.28</v>
      </c>
      <c r="L252" s="3">
        <v>422.51</v>
      </c>
      <c r="M252" s="3">
        <v>1690.04</v>
      </c>
      <c r="N252" s="3">
        <v>1082.24</v>
      </c>
      <c r="O252" s="4">
        <v>0.39037903819239034</v>
      </c>
      <c r="P252" s="3">
        <v>165000</v>
      </c>
    </row>
    <row r="253" spans="1:16">
      <c r="A253" t="s">
        <v>305</v>
      </c>
      <c r="B253" s="2">
        <v>46008</v>
      </c>
      <c r="C253" t="s">
        <v>17</v>
      </c>
      <c r="D253" t="s">
        <v>18</v>
      </c>
      <c r="E253" t="s">
        <v>26</v>
      </c>
      <c r="F253" t="s">
        <v>20</v>
      </c>
      <c r="G253" t="s">
        <v>27</v>
      </c>
      <c r="H253" t="s">
        <v>28</v>
      </c>
      <c r="I253" s="5">
        <v>8</v>
      </c>
      <c r="J253" s="3">
        <v>164.22</v>
      </c>
      <c r="K253" s="3">
        <v>1313.76</v>
      </c>
      <c r="L253" s="3">
        <v>110.51</v>
      </c>
      <c r="M253" s="3">
        <v>884.08</v>
      </c>
      <c r="N253" s="3">
        <v>429.68</v>
      </c>
      <c r="O253" s="4">
        <v>0.32706125928632324</v>
      </c>
      <c r="P253" s="3">
        <v>140000</v>
      </c>
    </row>
    <row r="254" spans="1:16">
      <c r="A254" t="s">
        <v>306</v>
      </c>
      <c r="B254" s="2">
        <v>45745</v>
      </c>
      <c r="C254" t="s">
        <v>17</v>
      </c>
      <c r="D254" t="s">
        <v>38</v>
      </c>
      <c r="E254" t="s">
        <v>42</v>
      </c>
      <c r="F254" t="s">
        <v>50</v>
      </c>
      <c r="G254" t="s">
        <v>35</v>
      </c>
      <c r="H254" t="s">
        <v>36</v>
      </c>
      <c r="I254" s="5">
        <v>2</v>
      </c>
      <c r="J254" s="3">
        <v>38.39</v>
      </c>
      <c r="K254" s="3">
        <v>76.78</v>
      </c>
      <c r="L254" s="3">
        <v>18.93</v>
      </c>
      <c r="M254" s="3">
        <v>37.86</v>
      </c>
      <c r="N254" s="3">
        <v>38.92</v>
      </c>
      <c r="O254" s="4">
        <v>0.50690283928106283</v>
      </c>
      <c r="P254" s="3">
        <v>140000</v>
      </c>
    </row>
    <row r="255" spans="1:16">
      <c r="A255" t="s">
        <v>307</v>
      </c>
      <c r="B255" s="2">
        <v>45775</v>
      </c>
      <c r="C255" t="s">
        <v>33</v>
      </c>
      <c r="D255" t="s">
        <v>54</v>
      </c>
      <c r="E255" t="s">
        <v>26</v>
      </c>
      <c r="F255" t="s">
        <v>43</v>
      </c>
      <c r="G255" t="s">
        <v>35</v>
      </c>
      <c r="H255" t="s">
        <v>63</v>
      </c>
      <c r="I255" s="5">
        <v>1</v>
      </c>
      <c r="J255" s="3">
        <v>244.26</v>
      </c>
      <c r="K255" s="3">
        <v>244.26</v>
      </c>
      <c r="L255" s="3">
        <v>188.11</v>
      </c>
      <c r="M255" s="3">
        <v>188.11</v>
      </c>
      <c r="N255" s="3">
        <v>56.15</v>
      </c>
      <c r="O255" s="4">
        <v>0.22987799885368052</v>
      </c>
      <c r="P255" s="3">
        <v>155000</v>
      </c>
    </row>
    <row r="256" spans="1:16">
      <c r="A256" t="s">
        <v>308</v>
      </c>
      <c r="B256" s="2">
        <v>45666</v>
      </c>
      <c r="C256" t="s">
        <v>33</v>
      </c>
      <c r="D256" t="s">
        <v>68</v>
      </c>
      <c r="E256" t="s">
        <v>42</v>
      </c>
      <c r="F256" t="s">
        <v>50</v>
      </c>
      <c r="G256" t="s">
        <v>27</v>
      </c>
      <c r="H256" t="s">
        <v>44</v>
      </c>
      <c r="I256" s="5">
        <v>2</v>
      </c>
      <c r="J256" s="3">
        <v>309.07</v>
      </c>
      <c r="K256" s="3">
        <v>618.14</v>
      </c>
      <c r="L256" s="3">
        <v>213.44</v>
      </c>
      <c r="M256" s="3">
        <v>426.88</v>
      </c>
      <c r="N256" s="3">
        <v>191.26</v>
      </c>
      <c r="O256" s="4">
        <v>0.30941210728961077</v>
      </c>
      <c r="P256" s="3">
        <v>155000</v>
      </c>
    </row>
    <row r="257" spans="1:16">
      <c r="A257" t="s">
        <v>309</v>
      </c>
      <c r="B257" s="2">
        <v>45948</v>
      </c>
      <c r="C257" t="s">
        <v>24</v>
      </c>
      <c r="D257" t="s">
        <v>49</v>
      </c>
      <c r="E257" t="s">
        <v>26</v>
      </c>
      <c r="F257" t="s">
        <v>50</v>
      </c>
      <c r="G257" t="s">
        <v>21</v>
      </c>
      <c r="H257" t="s">
        <v>47</v>
      </c>
      <c r="I257" s="5">
        <v>6</v>
      </c>
      <c r="J257" s="3">
        <v>38.299999999999997</v>
      </c>
      <c r="K257" s="3">
        <v>229.8</v>
      </c>
      <c r="L257" s="3">
        <v>24.09</v>
      </c>
      <c r="M257" s="3">
        <v>144.54</v>
      </c>
      <c r="N257" s="3">
        <v>85.26</v>
      </c>
      <c r="O257" s="4">
        <v>0.37101827676240207</v>
      </c>
      <c r="P257" s="3">
        <v>135000</v>
      </c>
    </row>
    <row r="258" spans="1:16">
      <c r="A258" t="s">
        <v>310</v>
      </c>
      <c r="B258" s="2">
        <v>45696</v>
      </c>
      <c r="C258" t="s">
        <v>40</v>
      </c>
      <c r="D258" t="s">
        <v>57</v>
      </c>
      <c r="E258" t="s">
        <v>42</v>
      </c>
      <c r="F258" t="s">
        <v>20</v>
      </c>
      <c r="G258" t="s">
        <v>35</v>
      </c>
      <c r="H258" t="s">
        <v>63</v>
      </c>
      <c r="I258" s="5">
        <v>8</v>
      </c>
      <c r="J258" s="3">
        <v>262.06</v>
      </c>
      <c r="K258" s="3">
        <v>2096.48</v>
      </c>
      <c r="L258" s="3">
        <v>179.2</v>
      </c>
      <c r="M258" s="3">
        <v>1433.6</v>
      </c>
      <c r="N258" s="3">
        <v>662.88</v>
      </c>
      <c r="O258" s="4">
        <v>0.31618713271769822</v>
      </c>
      <c r="P258" s="3">
        <v>165000</v>
      </c>
    </row>
    <row r="259" spans="1:16">
      <c r="A259" t="s">
        <v>311</v>
      </c>
      <c r="B259" s="2">
        <v>45850</v>
      </c>
      <c r="C259" t="s">
        <v>24</v>
      </c>
      <c r="D259" t="s">
        <v>30</v>
      </c>
      <c r="E259" t="s">
        <v>19</v>
      </c>
      <c r="F259" t="s">
        <v>50</v>
      </c>
      <c r="G259" t="s">
        <v>21</v>
      </c>
      <c r="H259" t="s">
        <v>47</v>
      </c>
      <c r="I259" s="5">
        <v>5</v>
      </c>
      <c r="J259" s="3">
        <v>45.17</v>
      </c>
      <c r="K259" s="3">
        <v>225.85</v>
      </c>
      <c r="L259" s="3">
        <v>24.75</v>
      </c>
      <c r="M259" s="3">
        <v>123.75</v>
      </c>
      <c r="N259" s="3">
        <v>102.1</v>
      </c>
      <c r="O259" s="4">
        <v>0.45206995793668364</v>
      </c>
      <c r="P259" s="3">
        <v>135000</v>
      </c>
    </row>
    <row r="260" spans="1:16">
      <c r="A260" t="s">
        <v>312</v>
      </c>
      <c r="B260" s="2">
        <v>45700</v>
      </c>
      <c r="C260" t="s">
        <v>40</v>
      </c>
      <c r="D260" t="s">
        <v>65</v>
      </c>
      <c r="E260" t="s">
        <v>26</v>
      </c>
      <c r="F260" t="s">
        <v>50</v>
      </c>
      <c r="G260" t="s">
        <v>21</v>
      </c>
      <c r="H260" t="s">
        <v>22</v>
      </c>
      <c r="I260" s="5">
        <v>7</v>
      </c>
      <c r="J260" s="3">
        <v>27.15</v>
      </c>
      <c r="K260" s="3">
        <v>190.05</v>
      </c>
      <c r="L260" s="3">
        <v>14.56</v>
      </c>
      <c r="M260" s="3">
        <v>101.92</v>
      </c>
      <c r="N260" s="3">
        <v>88.13</v>
      </c>
      <c r="O260" s="4">
        <v>0.46372007366482498</v>
      </c>
      <c r="P260" s="3">
        <v>165000</v>
      </c>
    </row>
    <row r="261" spans="1:16">
      <c r="A261" t="s">
        <v>313</v>
      </c>
      <c r="B261" s="2">
        <v>45660</v>
      </c>
      <c r="C261" t="s">
        <v>40</v>
      </c>
      <c r="D261" t="s">
        <v>57</v>
      </c>
      <c r="E261" t="s">
        <v>26</v>
      </c>
      <c r="F261" t="s">
        <v>20</v>
      </c>
      <c r="G261" t="s">
        <v>21</v>
      </c>
      <c r="H261" t="s">
        <v>22</v>
      </c>
      <c r="I261" s="5">
        <v>2</v>
      </c>
      <c r="J261" s="3">
        <v>26.35</v>
      </c>
      <c r="K261" s="3">
        <v>52.7</v>
      </c>
      <c r="L261" s="3">
        <v>15.07</v>
      </c>
      <c r="M261" s="3">
        <v>30.14</v>
      </c>
      <c r="N261" s="3">
        <v>22.56</v>
      </c>
      <c r="O261" s="4">
        <v>0.42808349146110053</v>
      </c>
      <c r="P261" s="3">
        <v>165000</v>
      </c>
    </row>
    <row r="262" spans="1:16">
      <c r="A262" t="s">
        <v>314</v>
      </c>
      <c r="B262" s="2">
        <v>45942</v>
      </c>
      <c r="C262" t="s">
        <v>24</v>
      </c>
      <c r="D262" t="s">
        <v>25</v>
      </c>
      <c r="E262" t="s">
        <v>26</v>
      </c>
      <c r="F262" t="s">
        <v>20</v>
      </c>
      <c r="G262" t="s">
        <v>21</v>
      </c>
      <c r="H262" t="s">
        <v>47</v>
      </c>
      <c r="I262" s="5">
        <v>6</v>
      </c>
      <c r="J262" s="3">
        <v>45.78</v>
      </c>
      <c r="K262" s="3">
        <v>274.68</v>
      </c>
      <c r="L262" s="3">
        <v>23.07</v>
      </c>
      <c r="M262" s="3">
        <v>138.41999999999999</v>
      </c>
      <c r="N262" s="3">
        <v>136.26</v>
      </c>
      <c r="O262" s="4">
        <v>0.49606815203145471</v>
      </c>
      <c r="P262" s="3">
        <v>135000</v>
      </c>
    </row>
    <row r="263" spans="1:16">
      <c r="A263" t="s">
        <v>315</v>
      </c>
      <c r="B263" s="2">
        <v>45869</v>
      </c>
      <c r="C263" t="s">
        <v>24</v>
      </c>
      <c r="D263" t="s">
        <v>25</v>
      </c>
      <c r="E263" t="s">
        <v>19</v>
      </c>
      <c r="F263" t="s">
        <v>50</v>
      </c>
      <c r="G263" t="s">
        <v>35</v>
      </c>
      <c r="H263" t="s">
        <v>58</v>
      </c>
      <c r="I263" s="5">
        <v>3</v>
      </c>
      <c r="J263" s="3">
        <v>998.23</v>
      </c>
      <c r="K263" s="3">
        <v>2994.69</v>
      </c>
      <c r="L263" s="3">
        <v>703.4</v>
      </c>
      <c r="M263" s="3">
        <v>2110.1999999999998</v>
      </c>
      <c r="N263" s="3">
        <v>884.49</v>
      </c>
      <c r="O263" s="4">
        <v>0.29535277441070695</v>
      </c>
      <c r="P263" s="3">
        <v>135000</v>
      </c>
    </row>
    <row r="264" spans="1:16">
      <c r="A264" t="s">
        <v>316</v>
      </c>
      <c r="B264" s="2">
        <v>45795</v>
      </c>
      <c r="C264" t="s">
        <v>40</v>
      </c>
      <c r="D264" t="s">
        <v>46</v>
      </c>
      <c r="E264" t="s">
        <v>19</v>
      </c>
      <c r="F264" t="s">
        <v>20</v>
      </c>
      <c r="G264" t="s">
        <v>27</v>
      </c>
      <c r="H264" t="s">
        <v>44</v>
      </c>
      <c r="I264" s="5">
        <v>5</v>
      </c>
      <c r="J264" s="3">
        <v>317.64999999999998</v>
      </c>
      <c r="K264" s="3">
        <v>1588.25</v>
      </c>
      <c r="L264" s="3">
        <v>211.77</v>
      </c>
      <c r="M264" s="3">
        <v>1058.8499999999999</v>
      </c>
      <c r="N264" s="3">
        <v>529.4</v>
      </c>
      <c r="O264" s="4">
        <v>0.33332283960333697</v>
      </c>
      <c r="P264" s="3">
        <v>165000</v>
      </c>
    </row>
    <row r="265" spans="1:16">
      <c r="A265" t="s">
        <v>317</v>
      </c>
      <c r="B265" s="2">
        <v>45697</v>
      </c>
      <c r="C265" t="s">
        <v>40</v>
      </c>
      <c r="D265" t="s">
        <v>46</v>
      </c>
      <c r="E265" t="s">
        <v>42</v>
      </c>
      <c r="F265" t="s">
        <v>50</v>
      </c>
      <c r="G265" t="s">
        <v>27</v>
      </c>
      <c r="H265" t="s">
        <v>55</v>
      </c>
      <c r="I265" s="5">
        <v>4</v>
      </c>
      <c r="J265" s="3">
        <v>620.45000000000005</v>
      </c>
      <c r="K265" s="3">
        <v>2481.8000000000002</v>
      </c>
      <c r="L265" s="3">
        <v>418.63</v>
      </c>
      <c r="M265" s="3">
        <v>1674.52</v>
      </c>
      <c r="N265" s="3">
        <v>807.28</v>
      </c>
      <c r="O265" s="4">
        <v>0.32528003868160205</v>
      </c>
      <c r="P265" s="3">
        <v>165000</v>
      </c>
    </row>
    <row r="266" spans="1:16">
      <c r="A266" t="s">
        <v>318</v>
      </c>
      <c r="B266" s="2">
        <v>45661</v>
      </c>
      <c r="C266" t="s">
        <v>24</v>
      </c>
      <c r="D266" t="s">
        <v>49</v>
      </c>
      <c r="E266" t="s">
        <v>42</v>
      </c>
      <c r="F266" t="s">
        <v>20</v>
      </c>
      <c r="G266" t="s">
        <v>35</v>
      </c>
      <c r="H266" t="s">
        <v>36</v>
      </c>
      <c r="I266" s="5">
        <v>8</v>
      </c>
      <c r="J266" s="3">
        <v>34.08</v>
      </c>
      <c r="K266" s="3">
        <v>272.64</v>
      </c>
      <c r="L266" s="3">
        <v>18.75</v>
      </c>
      <c r="M266" s="3">
        <v>150</v>
      </c>
      <c r="N266" s="3">
        <v>122.64</v>
      </c>
      <c r="O266" s="4">
        <v>0.44982394366197187</v>
      </c>
      <c r="P266" s="3">
        <v>135000</v>
      </c>
    </row>
    <row r="267" spans="1:16">
      <c r="A267" t="s">
        <v>319</v>
      </c>
      <c r="B267" s="2">
        <v>45991</v>
      </c>
      <c r="C267" t="s">
        <v>33</v>
      </c>
      <c r="D267" t="s">
        <v>34</v>
      </c>
      <c r="E267" t="s">
        <v>26</v>
      </c>
      <c r="F267" t="s">
        <v>43</v>
      </c>
      <c r="G267" t="s">
        <v>35</v>
      </c>
      <c r="H267" t="s">
        <v>58</v>
      </c>
      <c r="I267" s="5">
        <v>8</v>
      </c>
      <c r="J267" s="3">
        <v>920.66</v>
      </c>
      <c r="K267" s="3">
        <v>7365.28</v>
      </c>
      <c r="L267" s="3">
        <v>760.65</v>
      </c>
      <c r="M267" s="3">
        <v>6085.2</v>
      </c>
      <c r="N267" s="3">
        <v>1280.08</v>
      </c>
      <c r="O267" s="4">
        <v>0.17379923098646621</v>
      </c>
      <c r="P267" s="3">
        <v>155000</v>
      </c>
    </row>
    <row r="268" spans="1:16">
      <c r="A268" t="s">
        <v>320</v>
      </c>
      <c r="B268" s="2">
        <v>45821</v>
      </c>
      <c r="C268" t="s">
        <v>40</v>
      </c>
      <c r="D268" t="s">
        <v>57</v>
      </c>
      <c r="E268" t="s">
        <v>42</v>
      </c>
      <c r="F268" t="s">
        <v>50</v>
      </c>
      <c r="G268" t="s">
        <v>35</v>
      </c>
      <c r="H268" t="s">
        <v>36</v>
      </c>
      <c r="I268" s="5">
        <v>7</v>
      </c>
      <c r="J268" s="3">
        <v>33.659999999999997</v>
      </c>
      <c r="K268" s="3">
        <v>235.62</v>
      </c>
      <c r="L268" s="3">
        <v>18.690000000000001</v>
      </c>
      <c r="M268" s="3">
        <v>130.83000000000001</v>
      </c>
      <c r="N268" s="3">
        <v>104.79</v>
      </c>
      <c r="O268" s="4">
        <v>0.44474153297682711</v>
      </c>
      <c r="P268" s="3">
        <v>165000</v>
      </c>
    </row>
    <row r="269" spans="1:16">
      <c r="A269" t="s">
        <v>321</v>
      </c>
      <c r="B269" s="2">
        <v>45844</v>
      </c>
      <c r="C269" t="s">
        <v>17</v>
      </c>
      <c r="D269" t="s">
        <v>60</v>
      </c>
      <c r="E269" t="s">
        <v>19</v>
      </c>
      <c r="F269" t="s">
        <v>50</v>
      </c>
      <c r="G269" t="s">
        <v>27</v>
      </c>
      <c r="H269" t="s">
        <v>28</v>
      </c>
      <c r="I269" s="5">
        <v>1</v>
      </c>
      <c r="J269" s="3">
        <v>199.74</v>
      </c>
      <c r="K269" s="3">
        <v>199.74</v>
      </c>
      <c r="L269" s="3">
        <v>115.71</v>
      </c>
      <c r="M269" s="3">
        <v>115.71</v>
      </c>
      <c r="N269" s="3">
        <v>84.03</v>
      </c>
      <c r="O269" s="4">
        <v>0.4206969059777711</v>
      </c>
      <c r="P269" s="3">
        <v>140000</v>
      </c>
    </row>
    <row r="270" spans="1:16">
      <c r="A270" t="s">
        <v>322</v>
      </c>
      <c r="B270" s="2">
        <v>46020</v>
      </c>
      <c r="C270" t="s">
        <v>33</v>
      </c>
      <c r="D270" t="s">
        <v>54</v>
      </c>
      <c r="E270" t="s">
        <v>42</v>
      </c>
      <c r="F270" t="s">
        <v>43</v>
      </c>
      <c r="G270" t="s">
        <v>21</v>
      </c>
      <c r="H270" t="s">
        <v>47</v>
      </c>
      <c r="I270" s="5">
        <v>7</v>
      </c>
      <c r="J270" s="3">
        <v>44.02</v>
      </c>
      <c r="K270" s="3">
        <v>308.14</v>
      </c>
      <c r="L270" s="3">
        <v>23.37</v>
      </c>
      <c r="M270" s="3">
        <v>163.59</v>
      </c>
      <c r="N270" s="3">
        <v>144.55000000000001</v>
      </c>
      <c r="O270" s="4">
        <v>0.46910495229441168</v>
      </c>
      <c r="P270" s="3">
        <v>155000</v>
      </c>
    </row>
    <row r="271" spans="1:16">
      <c r="A271" t="s">
        <v>323</v>
      </c>
      <c r="B271" s="2">
        <v>45813</v>
      </c>
      <c r="C271" t="s">
        <v>33</v>
      </c>
      <c r="D271" t="s">
        <v>34</v>
      </c>
      <c r="E271" t="s">
        <v>19</v>
      </c>
      <c r="F271" t="s">
        <v>50</v>
      </c>
      <c r="G271" t="s">
        <v>27</v>
      </c>
      <c r="H271" t="s">
        <v>44</v>
      </c>
      <c r="I271" s="5">
        <v>2</v>
      </c>
      <c r="J271" s="3">
        <v>319.61</v>
      </c>
      <c r="K271" s="3">
        <v>639.22</v>
      </c>
      <c r="L271" s="3">
        <v>214.16</v>
      </c>
      <c r="M271" s="3">
        <v>428.32</v>
      </c>
      <c r="N271" s="3">
        <v>210.9</v>
      </c>
      <c r="O271" s="4">
        <v>0.32993335627796377</v>
      </c>
      <c r="P271" s="3">
        <v>155000</v>
      </c>
    </row>
    <row r="272" spans="1:16">
      <c r="A272" t="s">
        <v>324</v>
      </c>
      <c r="B272" s="2">
        <v>45956</v>
      </c>
      <c r="C272" t="s">
        <v>24</v>
      </c>
      <c r="D272" t="s">
        <v>74</v>
      </c>
      <c r="E272" t="s">
        <v>19</v>
      </c>
      <c r="F272" t="s">
        <v>50</v>
      </c>
      <c r="G272" t="s">
        <v>35</v>
      </c>
      <c r="H272" t="s">
        <v>36</v>
      </c>
      <c r="I272" s="5">
        <v>2</v>
      </c>
      <c r="J272" s="3">
        <v>32.340000000000003</v>
      </c>
      <c r="K272" s="3">
        <v>64.680000000000007</v>
      </c>
      <c r="L272" s="3">
        <v>17.73</v>
      </c>
      <c r="M272" s="3">
        <v>35.46</v>
      </c>
      <c r="N272" s="3">
        <v>29.22</v>
      </c>
      <c r="O272" s="4">
        <v>0.45176252319109456</v>
      </c>
      <c r="P272" s="3">
        <v>135000</v>
      </c>
    </row>
    <row r="273" spans="1:16">
      <c r="A273" t="s">
        <v>325</v>
      </c>
      <c r="B273" s="2">
        <v>45998</v>
      </c>
      <c r="C273" t="s">
        <v>40</v>
      </c>
      <c r="D273" t="s">
        <v>65</v>
      </c>
      <c r="E273" t="s">
        <v>19</v>
      </c>
      <c r="F273" t="s">
        <v>20</v>
      </c>
      <c r="G273" t="s">
        <v>27</v>
      </c>
      <c r="H273" t="s">
        <v>44</v>
      </c>
      <c r="I273" s="5">
        <v>6</v>
      </c>
      <c r="J273" s="3">
        <v>355.99</v>
      </c>
      <c r="K273" s="3">
        <v>2135.94</v>
      </c>
      <c r="L273" s="3">
        <v>210.64</v>
      </c>
      <c r="M273" s="3">
        <v>1263.8399999999999</v>
      </c>
      <c r="N273" s="3">
        <v>872.1</v>
      </c>
      <c r="O273" s="4">
        <v>0.40829798589848032</v>
      </c>
      <c r="P273" s="3">
        <v>165000</v>
      </c>
    </row>
    <row r="274" spans="1:16">
      <c r="A274" t="s">
        <v>326</v>
      </c>
      <c r="B274" s="2">
        <v>45663</v>
      </c>
      <c r="C274" t="s">
        <v>17</v>
      </c>
      <c r="D274" t="s">
        <v>80</v>
      </c>
      <c r="E274" t="s">
        <v>26</v>
      </c>
      <c r="F274" t="s">
        <v>50</v>
      </c>
      <c r="G274" t="s">
        <v>27</v>
      </c>
      <c r="H274" t="s">
        <v>28</v>
      </c>
      <c r="I274" s="5">
        <v>4</v>
      </c>
      <c r="J274" s="3">
        <v>179.65</v>
      </c>
      <c r="K274" s="3">
        <v>718.6</v>
      </c>
      <c r="L274" s="3">
        <v>114.9</v>
      </c>
      <c r="M274" s="3">
        <v>459.6</v>
      </c>
      <c r="N274" s="3">
        <v>259</v>
      </c>
      <c r="O274" s="4">
        <v>0.3604230448093515</v>
      </c>
      <c r="P274" s="3">
        <v>140000</v>
      </c>
    </row>
    <row r="275" spans="1:16">
      <c r="A275" t="s">
        <v>327</v>
      </c>
      <c r="B275" s="2">
        <v>46005</v>
      </c>
      <c r="C275" t="s">
        <v>33</v>
      </c>
      <c r="D275" t="s">
        <v>34</v>
      </c>
      <c r="E275" t="s">
        <v>42</v>
      </c>
      <c r="F275" t="s">
        <v>50</v>
      </c>
      <c r="G275" t="s">
        <v>35</v>
      </c>
      <c r="H275" t="s">
        <v>63</v>
      </c>
      <c r="I275" s="5">
        <v>7</v>
      </c>
      <c r="J275" s="3">
        <v>286.66000000000003</v>
      </c>
      <c r="K275" s="3">
        <v>2006.62</v>
      </c>
      <c r="L275" s="3">
        <v>174.35</v>
      </c>
      <c r="M275" s="3">
        <v>1220.45</v>
      </c>
      <c r="N275" s="3">
        <v>786.17</v>
      </c>
      <c r="O275" s="4">
        <v>0.39178818112049119</v>
      </c>
      <c r="P275" s="3">
        <v>155000</v>
      </c>
    </row>
    <row r="276" spans="1:16">
      <c r="A276" t="s">
        <v>328</v>
      </c>
      <c r="B276" s="2">
        <v>45730</v>
      </c>
      <c r="C276" t="s">
        <v>40</v>
      </c>
      <c r="D276" t="s">
        <v>46</v>
      </c>
      <c r="E276" t="s">
        <v>26</v>
      </c>
      <c r="F276" t="s">
        <v>50</v>
      </c>
      <c r="G276" t="s">
        <v>27</v>
      </c>
      <c r="H276" t="s">
        <v>28</v>
      </c>
      <c r="I276" s="5">
        <v>8</v>
      </c>
      <c r="J276" s="3">
        <v>175.79</v>
      </c>
      <c r="K276" s="3">
        <v>1406.32</v>
      </c>
      <c r="L276" s="3">
        <v>111.52</v>
      </c>
      <c r="M276" s="3">
        <v>892.16</v>
      </c>
      <c r="N276" s="3">
        <v>514.16</v>
      </c>
      <c r="O276" s="4">
        <v>0.36560668980032995</v>
      </c>
      <c r="P276" s="3">
        <v>165000</v>
      </c>
    </row>
    <row r="277" spans="1:16">
      <c r="A277" t="s">
        <v>329</v>
      </c>
      <c r="B277" s="2">
        <v>46014</v>
      </c>
      <c r="C277" t="s">
        <v>24</v>
      </c>
      <c r="D277" t="s">
        <v>49</v>
      </c>
      <c r="E277" t="s">
        <v>26</v>
      </c>
      <c r="F277" t="s">
        <v>20</v>
      </c>
      <c r="G277" t="s">
        <v>21</v>
      </c>
      <c r="H277" t="s">
        <v>47</v>
      </c>
      <c r="I277" s="5">
        <v>1</v>
      </c>
      <c r="J277" s="3">
        <v>45.65</v>
      </c>
      <c r="K277" s="3">
        <v>45.65</v>
      </c>
      <c r="L277" s="3">
        <v>24.6</v>
      </c>
      <c r="M277" s="3">
        <v>24.6</v>
      </c>
      <c r="N277" s="3">
        <v>21.05</v>
      </c>
      <c r="O277" s="4">
        <v>0.46111719605695511</v>
      </c>
      <c r="P277" s="3">
        <v>135000</v>
      </c>
    </row>
    <row r="278" spans="1:16">
      <c r="A278" t="s">
        <v>330</v>
      </c>
      <c r="B278" s="2">
        <v>46004</v>
      </c>
      <c r="C278" t="s">
        <v>33</v>
      </c>
      <c r="D278" t="s">
        <v>68</v>
      </c>
      <c r="E278" t="s">
        <v>19</v>
      </c>
      <c r="F278" t="s">
        <v>50</v>
      </c>
      <c r="G278" t="s">
        <v>35</v>
      </c>
      <c r="H278" t="s">
        <v>36</v>
      </c>
      <c r="I278" s="5">
        <v>7</v>
      </c>
      <c r="J278" s="3">
        <v>38.880000000000003</v>
      </c>
      <c r="K278" s="3">
        <v>272.16000000000003</v>
      </c>
      <c r="L278" s="3">
        <v>17.7</v>
      </c>
      <c r="M278" s="3">
        <v>123.9</v>
      </c>
      <c r="N278" s="3">
        <v>148.26</v>
      </c>
      <c r="O278" s="4">
        <v>0.54475308641975295</v>
      </c>
      <c r="P278" s="3">
        <v>155000</v>
      </c>
    </row>
    <row r="279" spans="1:16">
      <c r="A279" t="s">
        <v>331</v>
      </c>
      <c r="B279" s="2">
        <v>45865</v>
      </c>
      <c r="C279" t="s">
        <v>33</v>
      </c>
      <c r="D279" t="s">
        <v>68</v>
      </c>
      <c r="E279" t="s">
        <v>19</v>
      </c>
      <c r="F279" t="s">
        <v>20</v>
      </c>
      <c r="G279" t="s">
        <v>21</v>
      </c>
      <c r="H279" t="s">
        <v>31</v>
      </c>
      <c r="I279" s="5">
        <v>4</v>
      </c>
      <c r="J279" s="3">
        <v>11.99</v>
      </c>
      <c r="K279" s="3">
        <v>47.96</v>
      </c>
      <c r="L279" s="3">
        <v>6.02</v>
      </c>
      <c r="M279" s="3">
        <v>24.08</v>
      </c>
      <c r="N279" s="3">
        <v>23.88</v>
      </c>
      <c r="O279" s="4">
        <v>0.49791492910758961</v>
      </c>
      <c r="P279" s="3">
        <v>155000</v>
      </c>
    </row>
    <row r="280" spans="1:16">
      <c r="A280" t="s">
        <v>332</v>
      </c>
      <c r="B280" s="2">
        <v>45660</v>
      </c>
      <c r="C280" t="s">
        <v>33</v>
      </c>
      <c r="D280" t="s">
        <v>68</v>
      </c>
      <c r="E280" t="s">
        <v>26</v>
      </c>
      <c r="F280" t="s">
        <v>50</v>
      </c>
      <c r="G280" t="s">
        <v>21</v>
      </c>
      <c r="H280" t="s">
        <v>47</v>
      </c>
      <c r="I280" s="5">
        <v>2</v>
      </c>
      <c r="J280" s="3">
        <v>45.19</v>
      </c>
      <c r="K280" s="3">
        <v>90.38</v>
      </c>
      <c r="L280" s="3">
        <v>24.33</v>
      </c>
      <c r="M280" s="3">
        <v>48.66</v>
      </c>
      <c r="N280" s="3">
        <v>41.72</v>
      </c>
      <c r="O280" s="4">
        <v>0.46160655012170837</v>
      </c>
      <c r="P280" s="3">
        <v>155000</v>
      </c>
    </row>
    <row r="281" spans="1:16">
      <c r="A281" t="s">
        <v>333</v>
      </c>
      <c r="B281" s="2">
        <v>45845</v>
      </c>
      <c r="C281" t="s">
        <v>40</v>
      </c>
      <c r="D281" t="s">
        <v>65</v>
      </c>
      <c r="E281" t="s">
        <v>19</v>
      </c>
      <c r="F281" t="s">
        <v>20</v>
      </c>
      <c r="G281" t="s">
        <v>27</v>
      </c>
      <c r="H281" t="s">
        <v>55</v>
      </c>
      <c r="I281" s="5">
        <v>6</v>
      </c>
      <c r="J281" s="3">
        <v>639.42999999999995</v>
      </c>
      <c r="K281" s="3">
        <v>3836.58</v>
      </c>
      <c r="L281" s="3">
        <v>439.09</v>
      </c>
      <c r="M281" s="3">
        <v>2634.54</v>
      </c>
      <c r="N281" s="3">
        <v>1202.04</v>
      </c>
      <c r="O281" s="4">
        <v>0.31331029197879362</v>
      </c>
      <c r="P281" s="3">
        <v>165000</v>
      </c>
    </row>
    <row r="282" spans="1:16">
      <c r="A282" t="s">
        <v>334</v>
      </c>
      <c r="B282" s="2">
        <v>45958</v>
      </c>
      <c r="C282" t="s">
        <v>17</v>
      </c>
      <c r="D282" t="s">
        <v>80</v>
      </c>
      <c r="E282" t="s">
        <v>26</v>
      </c>
      <c r="F282" t="s">
        <v>50</v>
      </c>
      <c r="G282" t="s">
        <v>21</v>
      </c>
      <c r="H282" t="s">
        <v>22</v>
      </c>
      <c r="I282" s="5">
        <v>5</v>
      </c>
      <c r="J282" s="3">
        <v>30.86</v>
      </c>
      <c r="K282" s="3">
        <v>154.30000000000001</v>
      </c>
      <c r="L282" s="3">
        <v>15.29</v>
      </c>
      <c r="M282" s="3">
        <v>76.45</v>
      </c>
      <c r="N282" s="3">
        <v>77.849999999999994</v>
      </c>
      <c r="O282" s="4">
        <v>0.50453661697990915</v>
      </c>
      <c r="P282" s="3">
        <v>140000</v>
      </c>
    </row>
    <row r="283" spans="1:16">
      <c r="A283" t="s">
        <v>335</v>
      </c>
      <c r="B283" s="2">
        <v>46002</v>
      </c>
      <c r="C283" t="s">
        <v>33</v>
      </c>
      <c r="D283" t="s">
        <v>34</v>
      </c>
      <c r="E283" t="s">
        <v>26</v>
      </c>
      <c r="F283" t="s">
        <v>20</v>
      </c>
      <c r="G283" t="s">
        <v>21</v>
      </c>
      <c r="H283" t="s">
        <v>22</v>
      </c>
      <c r="I283" s="5">
        <v>6</v>
      </c>
      <c r="J283" s="3">
        <v>29.47</v>
      </c>
      <c r="K283" s="3">
        <v>176.82</v>
      </c>
      <c r="L283" s="3">
        <v>15.17</v>
      </c>
      <c r="M283" s="3">
        <v>91.02</v>
      </c>
      <c r="N283" s="3">
        <v>85.8</v>
      </c>
      <c r="O283" s="4">
        <v>0.48523922633186289</v>
      </c>
      <c r="P283" s="3">
        <v>155000</v>
      </c>
    </row>
    <row r="284" spans="1:16">
      <c r="A284" t="s">
        <v>336</v>
      </c>
      <c r="B284" s="2">
        <v>45872</v>
      </c>
      <c r="C284" t="s">
        <v>33</v>
      </c>
      <c r="D284" t="s">
        <v>54</v>
      </c>
      <c r="E284" t="s">
        <v>26</v>
      </c>
      <c r="F284" t="s">
        <v>50</v>
      </c>
      <c r="G284" t="s">
        <v>27</v>
      </c>
      <c r="H284" t="s">
        <v>28</v>
      </c>
      <c r="I284" s="5">
        <v>3</v>
      </c>
      <c r="J284" s="3">
        <v>183.97</v>
      </c>
      <c r="K284" s="3">
        <v>551.91</v>
      </c>
      <c r="L284" s="3">
        <v>116.03</v>
      </c>
      <c r="M284" s="3">
        <v>348.09</v>
      </c>
      <c r="N284" s="3">
        <v>203.82</v>
      </c>
      <c r="O284" s="4">
        <v>0.36929934228406808</v>
      </c>
      <c r="P284" s="3">
        <v>155000</v>
      </c>
    </row>
    <row r="285" spans="1:16">
      <c r="A285" t="s">
        <v>337</v>
      </c>
      <c r="B285" s="2">
        <v>45729</v>
      </c>
      <c r="C285" t="s">
        <v>33</v>
      </c>
      <c r="D285" t="s">
        <v>34</v>
      </c>
      <c r="E285" t="s">
        <v>42</v>
      </c>
      <c r="F285" t="s">
        <v>50</v>
      </c>
      <c r="G285" t="s">
        <v>35</v>
      </c>
      <c r="H285" t="s">
        <v>36</v>
      </c>
      <c r="I285" s="5">
        <v>1</v>
      </c>
      <c r="J285" s="3">
        <v>35.229999999999997</v>
      </c>
      <c r="K285" s="3">
        <v>35.229999999999997</v>
      </c>
      <c r="L285" s="3">
        <v>17.63</v>
      </c>
      <c r="M285" s="3">
        <v>17.63</v>
      </c>
      <c r="N285" s="3">
        <v>17.600000000000001</v>
      </c>
      <c r="O285" s="4">
        <v>0.49957422651149597</v>
      </c>
      <c r="P285" s="3">
        <v>155000</v>
      </c>
    </row>
    <row r="286" spans="1:16">
      <c r="A286" t="s">
        <v>338</v>
      </c>
      <c r="B286" s="2">
        <v>45854</v>
      </c>
      <c r="C286" t="s">
        <v>24</v>
      </c>
      <c r="D286" t="s">
        <v>74</v>
      </c>
      <c r="E286" t="s">
        <v>19</v>
      </c>
      <c r="F286" t="s">
        <v>20</v>
      </c>
      <c r="G286" t="s">
        <v>27</v>
      </c>
      <c r="H286" t="s">
        <v>55</v>
      </c>
      <c r="I286" s="5">
        <v>8</v>
      </c>
      <c r="J286" s="3">
        <v>580.80999999999995</v>
      </c>
      <c r="K286" s="3">
        <v>4646.4799999999996</v>
      </c>
      <c r="L286" s="3">
        <v>437.11</v>
      </c>
      <c r="M286" s="3">
        <v>3496.88</v>
      </c>
      <c r="N286" s="3">
        <v>1149.5999999999999</v>
      </c>
      <c r="O286" s="4">
        <v>0.24741309550455398</v>
      </c>
      <c r="P286" s="3">
        <v>135000</v>
      </c>
    </row>
    <row r="287" spans="1:16">
      <c r="A287" t="s">
        <v>339</v>
      </c>
      <c r="B287" s="2">
        <v>45770</v>
      </c>
      <c r="C287" t="s">
        <v>40</v>
      </c>
      <c r="D287" t="s">
        <v>41</v>
      </c>
      <c r="E287" t="s">
        <v>26</v>
      </c>
      <c r="F287" t="s">
        <v>50</v>
      </c>
      <c r="G287" t="s">
        <v>21</v>
      </c>
      <c r="H287" t="s">
        <v>22</v>
      </c>
      <c r="I287" s="5">
        <v>8</v>
      </c>
      <c r="J287" s="3">
        <v>28.68</v>
      </c>
      <c r="K287" s="3">
        <v>229.44</v>
      </c>
      <c r="L287" s="3">
        <v>15.56</v>
      </c>
      <c r="M287" s="3">
        <v>124.48</v>
      </c>
      <c r="N287" s="3">
        <v>104.96</v>
      </c>
      <c r="O287" s="4">
        <v>0.45746164574616455</v>
      </c>
      <c r="P287" s="3">
        <v>165000</v>
      </c>
    </row>
    <row r="288" spans="1:16">
      <c r="A288" t="s">
        <v>340</v>
      </c>
      <c r="B288" s="2">
        <v>45911</v>
      </c>
      <c r="C288" t="s">
        <v>17</v>
      </c>
      <c r="D288" t="s">
        <v>18</v>
      </c>
      <c r="E288" t="s">
        <v>26</v>
      </c>
      <c r="F288" t="s">
        <v>50</v>
      </c>
      <c r="G288" t="s">
        <v>35</v>
      </c>
      <c r="H288" t="s">
        <v>36</v>
      </c>
      <c r="I288" s="5">
        <v>1</v>
      </c>
      <c r="J288" s="3">
        <v>37.35</v>
      </c>
      <c r="K288" s="3">
        <v>37.35</v>
      </c>
      <c r="L288" s="3">
        <v>18.07</v>
      </c>
      <c r="M288" s="3">
        <v>18.07</v>
      </c>
      <c r="N288" s="3">
        <v>19.28</v>
      </c>
      <c r="O288" s="4">
        <v>0.51619812583668001</v>
      </c>
      <c r="P288" s="3">
        <v>140000</v>
      </c>
    </row>
    <row r="289" spans="1:16">
      <c r="A289" t="s">
        <v>341</v>
      </c>
      <c r="B289" s="2">
        <v>45769</v>
      </c>
      <c r="C289" t="s">
        <v>24</v>
      </c>
      <c r="D289" t="s">
        <v>25</v>
      </c>
      <c r="E289" t="s">
        <v>19</v>
      </c>
      <c r="F289" t="s">
        <v>50</v>
      </c>
      <c r="G289" t="s">
        <v>35</v>
      </c>
      <c r="H289" t="s">
        <v>58</v>
      </c>
      <c r="I289" s="5">
        <v>5</v>
      </c>
      <c r="J289" s="3">
        <v>1037.8399999999999</v>
      </c>
      <c r="K289" s="3">
        <v>5189.2</v>
      </c>
      <c r="L289" s="3">
        <v>693.52</v>
      </c>
      <c r="M289" s="3">
        <v>3467.6</v>
      </c>
      <c r="N289" s="3">
        <v>1721.6</v>
      </c>
      <c r="O289" s="4">
        <v>0.33176597548755105</v>
      </c>
      <c r="P289" s="3">
        <v>135000</v>
      </c>
    </row>
    <row r="290" spans="1:16">
      <c r="A290" t="s">
        <v>342</v>
      </c>
      <c r="B290" s="2">
        <v>45792</v>
      </c>
      <c r="C290" t="s">
        <v>40</v>
      </c>
      <c r="D290" t="s">
        <v>41</v>
      </c>
      <c r="E290" t="s">
        <v>26</v>
      </c>
      <c r="F290" t="s">
        <v>43</v>
      </c>
      <c r="G290" t="s">
        <v>35</v>
      </c>
      <c r="H290" t="s">
        <v>58</v>
      </c>
      <c r="I290" s="5">
        <v>4</v>
      </c>
      <c r="J290" s="3">
        <v>1024.44</v>
      </c>
      <c r="K290" s="3">
        <v>4097.76</v>
      </c>
      <c r="L290" s="3">
        <v>733.53</v>
      </c>
      <c r="M290" s="3">
        <v>2934.12</v>
      </c>
      <c r="N290" s="3">
        <v>1163.6400000000001</v>
      </c>
      <c r="O290" s="4">
        <v>0.28396977861075318</v>
      </c>
      <c r="P290" s="3">
        <v>165000</v>
      </c>
    </row>
    <row r="291" spans="1:16">
      <c r="A291" t="s">
        <v>343</v>
      </c>
      <c r="B291" s="2">
        <v>45837</v>
      </c>
      <c r="C291" t="s">
        <v>24</v>
      </c>
      <c r="D291" t="s">
        <v>30</v>
      </c>
      <c r="E291" t="s">
        <v>19</v>
      </c>
      <c r="F291" t="s">
        <v>50</v>
      </c>
      <c r="G291" t="s">
        <v>35</v>
      </c>
      <c r="H291" t="s">
        <v>58</v>
      </c>
      <c r="I291" s="5">
        <v>1</v>
      </c>
      <c r="J291" s="3">
        <v>974.15</v>
      </c>
      <c r="K291" s="3">
        <v>974.15</v>
      </c>
      <c r="L291" s="3">
        <v>729.52</v>
      </c>
      <c r="M291" s="3">
        <v>729.52</v>
      </c>
      <c r="N291" s="3">
        <v>244.63</v>
      </c>
      <c r="O291" s="4">
        <v>0.25112149053020583</v>
      </c>
      <c r="P291" s="3">
        <v>135000</v>
      </c>
    </row>
    <row r="292" spans="1:16">
      <c r="A292" t="s">
        <v>344</v>
      </c>
      <c r="B292" s="2">
        <v>45963</v>
      </c>
      <c r="C292" t="s">
        <v>33</v>
      </c>
      <c r="D292" t="s">
        <v>34</v>
      </c>
      <c r="E292" t="s">
        <v>42</v>
      </c>
      <c r="F292" t="s">
        <v>20</v>
      </c>
      <c r="G292" t="s">
        <v>35</v>
      </c>
      <c r="H292" t="s">
        <v>63</v>
      </c>
      <c r="I292" s="5">
        <v>2</v>
      </c>
      <c r="J292" s="3">
        <v>241.76</v>
      </c>
      <c r="K292" s="3">
        <v>483.52</v>
      </c>
      <c r="L292" s="3">
        <v>186.3</v>
      </c>
      <c r="M292" s="3">
        <v>372.6</v>
      </c>
      <c r="N292" s="3">
        <v>110.92</v>
      </c>
      <c r="O292" s="4">
        <v>0.22940105890138981</v>
      </c>
      <c r="P292" s="3">
        <v>155000</v>
      </c>
    </row>
    <row r="293" spans="1:16">
      <c r="A293" t="s">
        <v>345</v>
      </c>
      <c r="B293" s="2">
        <v>45868</v>
      </c>
      <c r="C293" t="s">
        <v>17</v>
      </c>
      <c r="D293" t="s">
        <v>80</v>
      </c>
      <c r="E293" t="s">
        <v>42</v>
      </c>
      <c r="F293" t="s">
        <v>20</v>
      </c>
      <c r="G293" t="s">
        <v>21</v>
      </c>
      <c r="H293" t="s">
        <v>22</v>
      </c>
      <c r="I293" s="5">
        <v>4</v>
      </c>
      <c r="J293" s="3">
        <v>26.1</v>
      </c>
      <c r="K293" s="3">
        <v>104.4</v>
      </c>
      <c r="L293" s="3">
        <v>14.88</v>
      </c>
      <c r="M293" s="3">
        <v>59.52</v>
      </c>
      <c r="N293" s="3">
        <v>44.88</v>
      </c>
      <c r="O293" s="4">
        <v>0.42988505747126438</v>
      </c>
      <c r="P293" s="3">
        <v>140000</v>
      </c>
    </row>
    <row r="294" spans="1:16">
      <c r="A294" t="s">
        <v>346</v>
      </c>
      <c r="B294" s="2">
        <v>45784</v>
      </c>
      <c r="C294" t="s">
        <v>24</v>
      </c>
      <c r="D294" t="s">
        <v>74</v>
      </c>
      <c r="E294" t="s">
        <v>26</v>
      </c>
      <c r="F294" t="s">
        <v>50</v>
      </c>
      <c r="G294" t="s">
        <v>27</v>
      </c>
      <c r="H294" t="s">
        <v>44</v>
      </c>
      <c r="I294" s="5">
        <v>7</v>
      </c>
      <c r="J294" s="3">
        <v>319.82</v>
      </c>
      <c r="K294" s="3">
        <v>2238.7399999999998</v>
      </c>
      <c r="L294" s="3">
        <v>214.91</v>
      </c>
      <c r="M294" s="3">
        <v>1504.37</v>
      </c>
      <c r="N294" s="3">
        <v>734.37</v>
      </c>
      <c r="O294" s="4">
        <v>0.32802826589956852</v>
      </c>
      <c r="P294" s="3">
        <v>135000</v>
      </c>
    </row>
    <row r="295" spans="1:16">
      <c r="A295" t="s">
        <v>347</v>
      </c>
      <c r="B295" s="2">
        <v>45705</v>
      </c>
      <c r="C295" t="s">
        <v>24</v>
      </c>
      <c r="D295" t="s">
        <v>49</v>
      </c>
      <c r="E295" t="s">
        <v>19</v>
      </c>
      <c r="F295" t="s">
        <v>43</v>
      </c>
      <c r="G295" t="s">
        <v>27</v>
      </c>
      <c r="H295" t="s">
        <v>55</v>
      </c>
      <c r="I295" s="5">
        <v>8</v>
      </c>
      <c r="J295" s="3">
        <v>602.64</v>
      </c>
      <c r="K295" s="3">
        <v>4821.12</v>
      </c>
      <c r="L295" s="3">
        <v>412.91</v>
      </c>
      <c r="M295" s="3">
        <v>3303.28</v>
      </c>
      <c r="N295" s="3">
        <v>1517.84</v>
      </c>
      <c r="O295" s="4">
        <v>0.31483140846940127</v>
      </c>
      <c r="P295" s="3">
        <v>135000</v>
      </c>
    </row>
    <row r="296" spans="1:16">
      <c r="A296" t="s">
        <v>348</v>
      </c>
      <c r="B296" s="2">
        <v>45705</v>
      </c>
      <c r="C296" t="s">
        <v>24</v>
      </c>
      <c r="D296" t="s">
        <v>49</v>
      </c>
      <c r="E296" t="s">
        <v>42</v>
      </c>
      <c r="F296" t="s">
        <v>50</v>
      </c>
      <c r="G296" t="s">
        <v>27</v>
      </c>
      <c r="H296" t="s">
        <v>44</v>
      </c>
      <c r="I296" s="5">
        <v>4</v>
      </c>
      <c r="J296" s="3">
        <v>356.16</v>
      </c>
      <c r="K296" s="3">
        <v>1424.64</v>
      </c>
      <c r="L296" s="3">
        <v>218.92</v>
      </c>
      <c r="M296" s="3">
        <v>875.68</v>
      </c>
      <c r="N296" s="3">
        <v>548.96</v>
      </c>
      <c r="O296" s="4">
        <v>0.38533243486073676</v>
      </c>
      <c r="P296" s="3">
        <v>135000</v>
      </c>
    </row>
    <row r="297" spans="1:16">
      <c r="A297" t="s">
        <v>349</v>
      </c>
      <c r="B297" s="2">
        <v>45911</v>
      </c>
      <c r="C297" t="s">
        <v>40</v>
      </c>
      <c r="D297" t="s">
        <v>46</v>
      </c>
      <c r="E297" t="s">
        <v>42</v>
      </c>
      <c r="F297" t="s">
        <v>20</v>
      </c>
      <c r="G297" t="s">
        <v>21</v>
      </c>
      <c r="H297" t="s">
        <v>22</v>
      </c>
      <c r="I297" s="5">
        <v>8</v>
      </c>
      <c r="J297" s="3">
        <v>30.06</v>
      </c>
      <c r="K297" s="3">
        <v>240.48</v>
      </c>
      <c r="L297" s="3">
        <v>15.74</v>
      </c>
      <c r="M297" s="3">
        <v>125.92</v>
      </c>
      <c r="N297" s="3">
        <v>114.56</v>
      </c>
      <c r="O297" s="4">
        <v>0.47638057218895546</v>
      </c>
      <c r="P297" s="3">
        <v>165000</v>
      </c>
    </row>
    <row r="298" spans="1:16">
      <c r="A298" t="s">
        <v>350</v>
      </c>
      <c r="B298" s="2">
        <v>45682</v>
      </c>
      <c r="C298" t="s">
        <v>17</v>
      </c>
      <c r="D298" t="s">
        <v>18</v>
      </c>
      <c r="E298" t="s">
        <v>19</v>
      </c>
      <c r="F298" t="s">
        <v>43</v>
      </c>
      <c r="G298" t="s">
        <v>21</v>
      </c>
      <c r="H298" t="s">
        <v>31</v>
      </c>
      <c r="I298" s="5">
        <v>2</v>
      </c>
      <c r="J298" s="3">
        <v>13.25</v>
      </c>
      <c r="K298" s="3">
        <v>26.5</v>
      </c>
      <c r="L298" s="3">
        <v>5.85</v>
      </c>
      <c r="M298" s="3">
        <v>11.7</v>
      </c>
      <c r="N298" s="3">
        <v>14.8</v>
      </c>
      <c r="O298" s="4">
        <v>0.55849056603773584</v>
      </c>
      <c r="P298" s="3">
        <v>140000</v>
      </c>
    </row>
    <row r="299" spans="1:16">
      <c r="A299" t="s">
        <v>351</v>
      </c>
      <c r="B299" s="2">
        <v>45891</v>
      </c>
      <c r="C299" t="s">
        <v>17</v>
      </c>
      <c r="D299" t="s">
        <v>38</v>
      </c>
      <c r="E299" t="s">
        <v>26</v>
      </c>
      <c r="F299" t="s">
        <v>50</v>
      </c>
      <c r="G299" t="s">
        <v>21</v>
      </c>
      <c r="H299" t="s">
        <v>22</v>
      </c>
      <c r="I299" s="5">
        <v>5</v>
      </c>
      <c r="J299" s="3">
        <v>26.18</v>
      </c>
      <c r="K299" s="3">
        <v>130.9</v>
      </c>
      <c r="L299" s="3">
        <v>15.8</v>
      </c>
      <c r="M299" s="3">
        <v>79</v>
      </c>
      <c r="N299" s="3">
        <v>51.9</v>
      </c>
      <c r="O299" s="4">
        <v>0.39648586707410233</v>
      </c>
      <c r="P299" s="3">
        <v>140000</v>
      </c>
    </row>
    <row r="300" spans="1:16">
      <c r="A300" t="s">
        <v>352</v>
      </c>
      <c r="B300" s="2">
        <v>45798</v>
      </c>
      <c r="C300" t="s">
        <v>17</v>
      </c>
      <c r="D300" t="s">
        <v>80</v>
      </c>
      <c r="E300" t="s">
        <v>26</v>
      </c>
      <c r="F300" t="s">
        <v>20</v>
      </c>
      <c r="G300" t="s">
        <v>21</v>
      </c>
      <c r="H300" t="s">
        <v>22</v>
      </c>
      <c r="I300" s="5">
        <v>1</v>
      </c>
      <c r="J300" s="3">
        <v>27.64</v>
      </c>
      <c r="K300" s="3">
        <v>27.64</v>
      </c>
      <c r="L300" s="3">
        <v>14.86</v>
      </c>
      <c r="M300" s="3">
        <v>14.86</v>
      </c>
      <c r="N300" s="3">
        <v>12.78</v>
      </c>
      <c r="O300" s="4">
        <v>0.4623733719247467</v>
      </c>
      <c r="P300" s="3">
        <v>140000</v>
      </c>
    </row>
    <row r="301" spans="1:16">
      <c r="A301" t="s">
        <v>353</v>
      </c>
      <c r="B301" s="2">
        <v>46016</v>
      </c>
      <c r="C301" t="s">
        <v>33</v>
      </c>
      <c r="D301" t="s">
        <v>54</v>
      </c>
      <c r="E301" t="s">
        <v>19</v>
      </c>
      <c r="F301" t="s">
        <v>50</v>
      </c>
      <c r="G301" t="s">
        <v>21</v>
      </c>
      <c r="H301" t="s">
        <v>31</v>
      </c>
      <c r="I301" s="5">
        <v>4</v>
      </c>
      <c r="J301" s="3">
        <v>12.06</v>
      </c>
      <c r="K301" s="3">
        <v>48.24</v>
      </c>
      <c r="L301" s="3">
        <v>5.84</v>
      </c>
      <c r="M301" s="3">
        <v>23.36</v>
      </c>
      <c r="N301" s="3">
        <v>24.88</v>
      </c>
      <c r="O301" s="4">
        <v>0.51575456053067992</v>
      </c>
      <c r="P301" s="3">
        <v>155000</v>
      </c>
    </row>
    <row r="302" spans="1:16">
      <c r="A302" t="s">
        <v>354</v>
      </c>
      <c r="B302" s="2">
        <v>45773</v>
      </c>
      <c r="C302" t="s">
        <v>24</v>
      </c>
      <c r="D302" t="s">
        <v>25</v>
      </c>
      <c r="E302" t="s">
        <v>26</v>
      </c>
      <c r="F302" t="s">
        <v>20</v>
      </c>
      <c r="G302" t="s">
        <v>21</v>
      </c>
      <c r="H302" t="s">
        <v>47</v>
      </c>
      <c r="I302" s="5">
        <v>7</v>
      </c>
      <c r="J302" s="3">
        <v>44.21</v>
      </c>
      <c r="K302" s="3">
        <v>309.47000000000003</v>
      </c>
      <c r="L302" s="3">
        <v>24.19</v>
      </c>
      <c r="M302" s="3">
        <v>169.33</v>
      </c>
      <c r="N302" s="3">
        <v>140.13999999999999</v>
      </c>
      <c r="O302" s="4">
        <v>0.45283872427052696</v>
      </c>
      <c r="P302" s="3">
        <v>135000</v>
      </c>
    </row>
    <row r="303" spans="1:16">
      <c r="A303" t="s">
        <v>355</v>
      </c>
      <c r="B303" s="2">
        <v>45775</v>
      </c>
      <c r="C303" t="s">
        <v>24</v>
      </c>
      <c r="D303" t="s">
        <v>25</v>
      </c>
      <c r="E303" t="s">
        <v>19</v>
      </c>
      <c r="F303" t="s">
        <v>20</v>
      </c>
      <c r="G303" t="s">
        <v>35</v>
      </c>
      <c r="H303" t="s">
        <v>36</v>
      </c>
      <c r="I303" s="5">
        <v>6</v>
      </c>
      <c r="J303" s="3">
        <v>38.28</v>
      </c>
      <c r="K303" s="3">
        <v>229.68</v>
      </c>
      <c r="L303" s="3">
        <v>17.53</v>
      </c>
      <c r="M303" s="3">
        <v>105.18</v>
      </c>
      <c r="N303" s="3">
        <v>124.5</v>
      </c>
      <c r="O303" s="4">
        <v>0.54205851619644718</v>
      </c>
      <c r="P303" s="3">
        <v>135000</v>
      </c>
    </row>
    <row r="304" spans="1:16">
      <c r="A304" t="s">
        <v>356</v>
      </c>
      <c r="B304" s="2">
        <v>45726</v>
      </c>
      <c r="C304" t="s">
        <v>33</v>
      </c>
      <c r="D304" t="s">
        <v>52</v>
      </c>
      <c r="E304" t="s">
        <v>19</v>
      </c>
      <c r="F304" t="s">
        <v>20</v>
      </c>
      <c r="G304" t="s">
        <v>21</v>
      </c>
      <c r="H304" t="s">
        <v>22</v>
      </c>
      <c r="I304" s="5">
        <v>8</v>
      </c>
      <c r="J304" s="3">
        <v>27.36</v>
      </c>
      <c r="K304" s="3">
        <v>218.88</v>
      </c>
      <c r="L304" s="3">
        <v>14.72</v>
      </c>
      <c r="M304" s="3">
        <v>117.76</v>
      </c>
      <c r="N304" s="3">
        <v>101.12</v>
      </c>
      <c r="O304" s="4">
        <v>0.46198830409356728</v>
      </c>
      <c r="P304" s="3">
        <v>155000</v>
      </c>
    </row>
    <row r="305" spans="1:16">
      <c r="A305" t="s">
        <v>357</v>
      </c>
      <c r="B305" s="2">
        <v>45735</v>
      </c>
      <c r="C305" t="s">
        <v>24</v>
      </c>
      <c r="D305" t="s">
        <v>74</v>
      </c>
      <c r="E305" t="s">
        <v>42</v>
      </c>
      <c r="F305" t="s">
        <v>20</v>
      </c>
      <c r="G305" t="s">
        <v>21</v>
      </c>
      <c r="H305" t="s">
        <v>47</v>
      </c>
      <c r="I305" s="5">
        <v>3</v>
      </c>
      <c r="J305" s="3">
        <v>44.75</v>
      </c>
      <c r="K305" s="3">
        <v>134.25</v>
      </c>
      <c r="L305" s="3">
        <v>24.45</v>
      </c>
      <c r="M305" s="3">
        <v>73.349999999999994</v>
      </c>
      <c r="N305" s="3">
        <v>60.9</v>
      </c>
      <c r="O305" s="4">
        <v>0.45363128491620108</v>
      </c>
      <c r="P305" s="3">
        <v>135000</v>
      </c>
    </row>
    <row r="306" spans="1:16">
      <c r="A306" t="s">
        <v>358</v>
      </c>
      <c r="B306" s="2">
        <v>45854</v>
      </c>
      <c r="C306" t="s">
        <v>40</v>
      </c>
      <c r="D306" t="s">
        <v>57</v>
      </c>
      <c r="E306" t="s">
        <v>26</v>
      </c>
      <c r="F306" t="s">
        <v>20</v>
      </c>
      <c r="G306" t="s">
        <v>35</v>
      </c>
      <c r="H306" t="s">
        <v>63</v>
      </c>
      <c r="I306" s="5">
        <v>2</v>
      </c>
      <c r="J306" s="3">
        <v>248.2</v>
      </c>
      <c r="K306" s="3">
        <v>496.4</v>
      </c>
      <c r="L306" s="3">
        <v>183.62</v>
      </c>
      <c r="M306" s="3">
        <v>367.24</v>
      </c>
      <c r="N306" s="3">
        <v>129.16</v>
      </c>
      <c r="O306" s="4">
        <v>0.26019339242546335</v>
      </c>
      <c r="P306" s="3">
        <v>165000</v>
      </c>
    </row>
    <row r="307" spans="1:16">
      <c r="A307" t="s">
        <v>359</v>
      </c>
      <c r="B307" s="2">
        <v>45969</v>
      </c>
      <c r="C307" t="s">
        <v>40</v>
      </c>
      <c r="D307" t="s">
        <v>41</v>
      </c>
      <c r="E307" t="s">
        <v>42</v>
      </c>
      <c r="F307" t="s">
        <v>50</v>
      </c>
      <c r="G307" t="s">
        <v>35</v>
      </c>
      <c r="H307" t="s">
        <v>63</v>
      </c>
      <c r="I307" s="5">
        <v>4</v>
      </c>
      <c r="J307" s="3">
        <v>263.62</v>
      </c>
      <c r="K307" s="3">
        <v>1054.48</v>
      </c>
      <c r="L307" s="3">
        <v>181.97</v>
      </c>
      <c r="M307" s="3">
        <v>727.88</v>
      </c>
      <c r="N307" s="3">
        <v>326.60000000000002</v>
      </c>
      <c r="O307" s="4">
        <v>0.30972612093164403</v>
      </c>
      <c r="P307" s="3">
        <v>165000</v>
      </c>
    </row>
    <row r="308" spans="1:16">
      <c r="A308" t="s">
        <v>360</v>
      </c>
      <c r="B308" s="2">
        <v>45858</v>
      </c>
      <c r="C308" t="s">
        <v>40</v>
      </c>
      <c r="D308" t="s">
        <v>41</v>
      </c>
      <c r="E308" t="s">
        <v>42</v>
      </c>
      <c r="F308" t="s">
        <v>50</v>
      </c>
      <c r="G308" t="s">
        <v>35</v>
      </c>
      <c r="H308" t="s">
        <v>58</v>
      </c>
      <c r="I308" s="5">
        <v>8</v>
      </c>
      <c r="J308" s="3">
        <v>935.65</v>
      </c>
      <c r="K308" s="3">
        <v>7485.2</v>
      </c>
      <c r="L308" s="3">
        <v>708.56</v>
      </c>
      <c r="M308" s="3">
        <v>5668.48</v>
      </c>
      <c r="N308" s="3">
        <v>1816.72</v>
      </c>
      <c r="O308" s="4">
        <v>0.2427082776679314</v>
      </c>
      <c r="P308" s="3">
        <v>165000</v>
      </c>
    </row>
    <row r="309" spans="1:16">
      <c r="A309" t="s">
        <v>361</v>
      </c>
      <c r="B309" s="2">
        <v>45984</v>
      </c>
      <c r="C309" t="s">
        <v>17</v>
      </c>
      <c r="D309" t="s">
        <v>18</v>
      </c>
      <c r="E309" t="s">
        <v>42</v>
      </c>
      <c r="F309" t="s">
        <v>43</v>
      </c>
      <c r="G309" t="s">
        <v>21</v>
      </c>
      <c r="H309" t="s">
        <v>22</v>
      </c>
      <c r="I309" s="5">
        <v>7</v>
      </c>
      <c r="J309" s="3">
        <v>30.5</v>
      </c>
      <c r="K309" s="3">
        <v>213.5</v>
      </c>
      <c r="L309" s="3">
        <v>15.25</v>
      </c>
      <c r="M309" s="3">
        <v>106.75</v>
      </c>
      <c r="N309" s="3">
        <v>106.75</v>
      </c>
      <c r="O309" s="4">
        <v>0.5</v>
      </c>
      <c r="P309" s="3">
        <v>140000</v>
      </c>
    </row>
    <row r="310" spans="1:16">
      <c r="A310" t="s">
        <v>362</v>
      </c>
      <c r="B310" s="2">
        <v>45845</v>
      </c>
      <c r="C310" t="s">
        <v>33</v>
      </c>
      <c r="D310" t="s">
        <v>54</v>
      </c>
      <c r="E310" t="s">
        <v>42</v>
      </c>
      <c r="F310" t="s">
        <v>50</v>
      </c>
      <c r="G310" t="s">
        <v>21</v>
      </c>
      <c r="H310" t="s">
        <v>31</v>
      </c>
      <c r="I310" s="5">
        <v>2</v>
      </c>
      <c r="J310" s="3">
        <v>10.84</v>
      </c>
      <c r="K310" s="3">
        <v>21.68</v>
      </c>
      <c r="L310" s="3">
        <v>5.89</v>
      </c>
      <c r="M310" s="3">
        <v>11.78</v>
      </c>
      <c r="N310" s="3">
        <v>9.9</v>
      </c>
      <c r="O310" s="4">
        <v>0.45664206642066424</v>
      </c>
      <c r="P310" s="3">
        <v>155000</v>
      </c>
    </row>
    <row r="311" spans="1:16">
      <c r="A311" t="s">
        <v>363</v>
      </c>
      <c r="B311" s="2">
        <v>45688</v>
      </c>
      <c r="C311" t="s">
        <v>24</v>
      </c>
      <c r="D311" t="s">
        <v>49</v>
      </c>
      <c r="E311" t="s">
        <v>19</v>
      </c>
      <c r="F311" t="s">
        <v>50</v>
      </c>
      <c r="G311" t="s">
        <v>27</v>
      </c>
      <c r="H311" t="s">
        <v>44</v>
      </c>
      <c r="I311" s="5">
        <v>7</v>
      </c>
      <c r="J311" s="3">
        <v>337.41</v>
      </c>
      <c r="K311" s="3">
        <v>2361.87</v>
      </c>
      <c r="L311" s="3">
        <v>203.33</v>
      </c>
      <c r="M311" s="3">
        <v>1423.31</v>
      </c>
      <c r="N311" s="3">
        <v>938.56</v>
      </c>
      <c r="O311" s="4">
        <v>0.39738004208529681</v>
      </c>
      <c r="P311" s="3">
        <v>135000</v>
      </c>
    </row>
    <row r="312" spans="1:16">
      <c r="A312" t="s">
        <v>364</v>
      </c>
      <c r="B312" s="2">
        <v>45932</v>
      </c>
      <c r="C312" t="s">
        <v>33</v>
      </c>
      <c r="D312" t="s">
        <v>34</v>
      </c>
      <c r="E312" t="s">
        <v>26</v>
      </c>
      <c r="F312" t="s">
        <v>20</v>
      </c>
      <c r="G312" t="s">
        <v>35</v>
      </c>
      <c r="H312" t="s">
        <v>58</v>
      </c>
      <c r="I312" s="5">
        <v>3</v>
      </c>
      <c r="J312" s="3">
        <v>967.11</v>
      </c>
      <c r="K312" s="3">
        <v>2901.33</v>
      </c>
      <c r="L312" s="3">
        <v>719.33</v>
      </c>
      <c r="M312" s="3">
        <v>2157.9899999999998</v>
      </c>
      <c r="N312" s="3">
        <v>743.34</v>
      </c>
      <c r="O312" s="4">
        <v>0.25620663626681556</v>
      </c>
      <c r="P312" s="3">
        <v>155000</v>
      </c>
    </row>
    <row r="313" spans="1:16">
      <c r="A313" t="s">
        <v>365</v>
      </c>
      <c r="B313" s="2">
        <v>45982</v>
      </c>
      <c r="C313" t="s">
        <v>17</v>
      </c>
      <c r="D313" t="s">
        <v>80</v>
      </c>
      <c r="E313" t="s">
        <v>19</v>
      </c>
      <c r="F313" t="s">
        <v>50</v>
      </c>
      <c r="G313" t="s">
        <v>35</v>
      </c>
      <c r="H313" t="s">
        <v>58</v>
      </c>
      <c r="I313" s="5">
        <v>1</v>
      </c>
      <c r="J313" s="3">
        <v>906.1</v>
      </c>
      <c r="K313" s="3">
        <v>906.1</v>
      </c>
      <c r="L313" s="3">
        <v>757.77</v>
      </c>
      <c r="M313" s="3">
        <v>757.77</v>
      </c>
      <c r="N313" s="3">
        <v>148.33000000000001</v>
      </c>
      <c r="O313" s="4">
        <v>0.16370157819225253</v>
      </c>
      <c r="P313" s="3">
        <v>140000</v>
      </c>
    </row>
    <row r="314" spans="1:16">
      <c r="A314" t="s">
        <v>366</v>
      </c>
      <c r="B314" s="2">
        <v>45717</v>
      </c>
      <c r="C314" t="s">
        <v>24</v>
      </c>
      <c r="D314" t="s">
        <v>25</v>
      </c>
      <c r="E314" t="s">
        <v>26</v>
      </c>
      <c r="F314" t="s">
        <v>50</v>
      </c>
      <c r="G314" t="s">
        <v>21</v>
      </c>
      <c r="H314" t="s">
        <v>22</v>
      </c>
      <c r="I314" s="5">
        <v>2</v>
      </c>
      <c r="J314" s="3">
        <v>25.28</v>
      </c>
      <c r="K314" s="3">
        <v>50.56</v>
      </c>
      <c r="L314" s="3">
        <v>14.61</v>
      </c>
      <c r="M314" s="3">
        <v>29.22</v>
      </c>
      <c r="N314" s="3">
        <v>21.34</v>
      </c>
      <c r="O314" s="4">
        <v>0.42207278481012656</v>
      </c>
      <c r="P314" s="3">
        <v>135000</v>
      </c>
    </row>
    <row r="315" spans="1:16">
      <c r="A315" t="s">
        <v>367</v>
      </c>
      <c r="B315" s="2">
        <v>45663</v>
      </c>
      <c r="C315" t="s">
        <v>33</v>
      </c>
      <c r="D315" t="s">
        <v>54</v>
      </c>
      <c r="E315" t="s">
        <v>42</v>
      </c>
      <c r="F315" t="s">
        <v>50</v>
      </c>
      <c r="G315" t="s">
        <v>35</v>
      </c>
      <c r="H315" t="s">
        <v>63</v>
      </c>
      <c r="I315" s="5">
        <v>3</v>
      </c>
      <c r="J315" s="3">
        <v>255.27</v>
      </c>
      <c r="K315" s="3">
        <v>765.81</v>
      </c>
      <c r="L315" s="3">
        <v>186.3</v>
      </c>
      <c r="M315" s="3">
        <v>558.9</v>
      </c>
      <c r="N315" s="3">
        <v>206.91</v>
      </c>
      <c r="O315" s="4">
        <v>0.2701845105182748</v>
      </c>
      <c r="P315" s="3">
        <v>155000</v>
      </c>
    </row>
    <row r="316" spans="1:16">
      <c r="A316" t="s">
        <v>368</v>
      </c>
      <c r="B316" s="2">
        <v>45795</v>
      </c>
      <c r="C316" t="s">
        <v>17</v>
      </c>
      <c r="D316" t="s">
        <v>18</v>
      </c>
      <c r="E316" t="s">
        <v>26</v>
      </c>
      <c r="F316" t="s">
        <v>20</v>
      </c>
      <c r="G316" t="s">
        <v>27</v>
      </c>
      <c r="H316" t="s">
        <v>28</v>
      </c>
      <c r="I316" s="5">
        <v>2</v>
      </c>
      <c r="J316" s="3">
        <v>172.41</v>
      </c>
      <c r="K316" s="3">
        <v>344.82</v>
      </c>
      <c r="L316" s="3">
        <v>121.61</v>
      </c>
      <c r="M316" s="3">
        <v>243.22</v>
      </c>
      <c r="N316" s="3">
        <v>101.6</v>
      </c>
      <c r="O316" s="4">
        <v>0.29464648222260886</v>
      </c>
      <c r="P316" s="3">
        <v>140000</v>
      </c>
    </row>
    <row r="317" spans="1:16">
      <c r="A317" t="s">
        <v>369</v>
      </c>
      <c r="B317" s="2">
        <v>45979</v>
      </c>
      <c r="C317" t="s">
        <v>17</v>
      </c>
      <c r="D317" t="s">
        <v>38</v>
      </c>
      <c r="E317" t="s">
        <v>19</v>
      </c>
      <c r="F317" t="s">
        <v>20</v>
      </c>
      <c r="G317" t="s">
        <v>27</v>
      </c>
      <c r="H317" t="s">
        <v>55</v>
      </c>
      <c r="I317" s="5">
        <v>3</v>
      </c>
      <c r="J317" s="3">
        <v>608.15</v>
      </c>
      <c r="K317" s="3">
        <v>1824.45</v>
      </c>
      <c r="L317" s="3">
        <v>423.77</v>
      </c>
      <c r="M317" s="3">
        <v>1271.31</v>
      </c>
      <c r="N317" s="3">
        <v>553.14</v>
      </c>
      <c r="O317" s="4">
        <v>0.30318178081065528</v>
      </c>
      <c r="P317" s="3">
        <v>140000</v>
      </c>
    </row>
    <row r="318" spans="1:16">
      <c r="A318" t="s">
        <v>370</v>
      </c>
      <c r="B318" s="2">
        <v>45710</v>
      </c>
      <c r="C318" t="s">
        <v>17</v>
      </c>
      <c r="D318" t="s">
        <v>60</v>
      </c>
      <c r="E318" t="s">
        <v>19</v>
      </c>
      <c r="F318" t="s">
        <v>20</v>
      </c>
      <c r="G318" t="s">
        <v>21</v>
      </c>
      <c r="H318" t="s">
        <v>31</v>
      </c>
      <c r="I318" s="5">
        <v>4</v>
      </c>
      <c r="J318" s="3">
        <v>10.92</v>
      </c>
      <c r="K318" s="3">
        <v>43.68</v>
      </c>
      <c r="L318" s="3">
        <v>5.98</v>
      </c>
      <c r="M318" s="3">
        <v>23.92</v>
      </c>
      <c r="N318" s="3">
        <v>19.760000000000002</v>
      </c>
      <c r="O318" s="4">
        <v>0.45238095238095244</v>
      </c>
      <c r="P318" s="3">
        <v>140000</v>
      </c>
    </row>
    <row r="319" spans="1:16">
      <c r="A319" t="s">
        <v>371</v>
      </c>
      <c r="B319" s="2">
        <v>45734</v>
      </c>
      <c r="C319" t="s">
        <v>33</v>
      </c>
      <c r="D319" t="s">
        <v>52</v>
      </c>
      <c r="E319" t="s">
        <v>19</v>
      </c>
      <c r="F319" t="s">
        <v>43</v>
      </c>
      <c r="G319" t="s">
        <v>27</v>
      </c>
      <c r="H319" t="s">
        <v>44</v>
      </c>
      <c r="I319" s="5">
        <v>4</v>
      </c>
      <c r="J319" s="3">
        <v>310.64999999999998</v>
      </c>
      <c r="K319" s="3">
        <v>1242.5999999999999</v>
      </c>
      <c r="L319" s="3">
        <v>210.34</v>
      </c>
      <c r="M319" s="3">
        <v>841.36</v>
      </c>
      <c r="N319" s="3">
        <v>401.24</v>
      </c>
      <c r="O319" s="4">
        <v>0.32290358924835028</v>
      </c>
      <c r="P319" s="3">
        <v>155000</v>
      </c>
    </row>
    <row r="320" spans="1:16">
      <c r="A320" t="s">
        <v>372</v>
      </c>
      <c r="B320" s="2">
        <v>45821</v>
      </c>
      <c r="C320" t="s">
        <v>40</v>
      </c>
      <c r="D320" t="s">
        <v>41</v>
      </c>
      <c r="E320" t="s">
        <v>19</v>
      </c>
      <c r="F320" t="s">
        <v>20</v>
      </c>
      <c r="G320" t="s">
        <v>21</v>
      </c>
      <c r="H320" t="s">
        <v>31</v>
      </c>
      <c r="I320" s="5">
        <v>3</v>
      </c>
      <c r="J320" s="3">
        <v>11.39</v>
      </c>
      <c r="K320" s="3">
        <v>34.17</v>
      </c>
      <c r="L320" s="3">
        <v>6.07</v>
      </c>
      <c r="M320" s="3">
        <v>18.21</v>
      </c>
      <c r="N320" s="3">
        <v>15.96</v>
      </c>
      <c r="O320" s="4">
        <v>0.46707638279192276</v>
      </c>
      <c r="P320" s="3">
        <v>165000</v>
      </c>
    </row>
    <row r="321" spans="1:16">
      <c r="A321" t="s">
        <v>373</v>
      </c>
      <c r="B321" s="2">
        <v>45681</v>
      </c>
      <c r="C321" t="s">
        <v>24</v>
      </c>
      <c r="D321" t="s">
        <v>25</v>
      </c>
      <c r="E321" t="s">
        <v>42</v>
      </c>
      <c r="F321" t="s">
        <v>43</v>
      </c>
      <c r="G321" t="s">
        <v>35</v>
      </c>
      <c r="H321" t="s">
        <v>63</v>
      </c>
      <c r="I321" s="5">
        <v>6</v>
      </c>
      <c r="J321" s="3">
        <v>238.94</v>
      </c>
      <c r="K321" s="3">
        <v>1433.64</v>
      </c>
      <c r="L321" s="3">
        <v>181.02</v>
      </c>
      <c r="M321" s="3">
        <v>1086.1199999999999</v>
      </c>
      <c r="N321" s="3">
        <v>347.52</v>
      </c>
      <c r="O321" s="4">
        <v>0.24240395078262322</v>
      </c>
      <c r="P321" s="3">
        <v>135000</v>
      </c>
    </row>
    <row r="322" spans="1:16">
      <c r="A322" t="s">
        <v>374</v>
      </c>
      <c r="B322" s="2">
        <v>45846</v>
      </c>
      <c r="C322" t="s">
        <v>33</v>
      </c>
      <c r="D322" t="s">
        <v>34</v>
      </c>
      <c r="E322" t="s">
        <v>19</v>
      </c>
      <c r="F322" t="s">
        <v>20</v>
      </c>
      <c r="G322" t="s">
        <v>35</v>
      </c>
      <c r="H322" t="s">
        <v>58</v>
      </c>
      <c r="I322" s="5">
        <v>8</v>
      </c>
      <c r="J322" s="3">
        <v>931.97</v>
      </c>
      <c r="K322" s="3">
        <v>7455.76</v>
      </c>
      <c r="L322" s="3">
        <v>761.17</v>
      </c>
      <c r="M322" s="3">
        <v>6089.36</v>
      </c>
      <c r="N322" s="3">
        <v>1366.4</v>
      </c>
      <c r="O322" s="4">
        <v>0.18326770175005633</v>
      </c>
      <c r="P322" s="3">
        <v>155000</v>
      </c>
    </row>
    <row r="323" spans="1:16">
      <c r="A323" t="s">
        <v>375</v>
      </c>
      <c r="B323" s="2">
        <v>45758</v>
      </c>
      <c r="C323" t="s">
        <v>33</v>
      </c>
      <c r="D323" t="s">
        <v>68</v>
      </c>
      <c r="E323" t="s">
        <v>26</v>
      </c>
      <c r="F323" t="s">
        <v>20</v>
      </c>
      <c r="G323" t="s">
        <v>35</v>
      </c>
      <c r="H323" t="s">
        <v>58</v>
      </c>
      <c r="I323" s="5">
        <v>6</v>
      </c>
      <c r="J323" s="3">
        <v>987.91</v>
      </c>
      <c r="K323" s="3">
        <v>5927.46</v>
      </c>
      <c r="L323" s="3">
        <v>741.13</v>
      </c>
      <c r="M323" s="3">
        <v>4446.78</v>
      </c>
      <c r="N323" s="3">
        <v>1480.68</v>
      </c>
      <c r="O323" s="4">
        <v>0.24980008300351247</v>
      </c>
      <c r="P323" s="3">
        <v>155000</v>
      </c>
    </row>
    <row r="324" spans="1:16">
      <c r="A324" t="s">
        <v>376</v>
      </c>
      <c r="B324" s="2">
        <v>45662</v>
      </c>
      <c r="C324" t="s">
        <v>40</v>
      </c>
      <c r="D324" t="s">
        <v>41</v>
      </c>
      <c r="E324" t="s">
        <v>42</v>
      </c>
      <c r="F324" t="s">
        <v>20</v>
      </c>
      <c r="G324" t="s">
        <v>35</v>
      </c>
      <c r="H324" t="s">
        <v>63</v>
      </c>
      <c r="I324" s="5">
        <v>2</v>
      </c>
      <c r="J324" s="3">
        <v>245.74</v>
      </c>
      <c r="K324" s="3">
        <v>491.48</v>
      </c>
      <c r="L324" s="3">
        <v>190.5</v>
      </c>
      <c r="M324" s="3">
        <v>381</v>
      </c>
      <c r="N324" s="3">
        <v>110.48</v>
      </c>
      <c r="O324" s="4">
        <v>0.2247904289086026</v>
      </c>
      <c r="P324" s="3">
        <v>165000</v>
      </c>
    </row>
    <row r="325" spans="1:16">
      <c r="A325" t="s">
        <v>377</v>
      </c>
      <c r="B325" s="2">
        <v>45872</v>
      </c>
      <c r="C325" t="s">
        <v>24</v>
      </c>
      <c r="D325" t="s">
        <v>25</v>
      </c>
      <c r="E325" t="s">
        <v>42</v>
      </c>
      <c r="F325" t="s">
        <v>20</v>
      </c>
      <c r="G325" t="s">
        <v>35</v>
      </c>
      <c r="H325" t="s">
        <v>63</v>
      </c>
      <c r="I325" s="5">
        <v>2</v>
      </c>
      <c r="J325" s="3">
        <v>236.51</v>
      </c>
      <c r="K325" s="3">
        <v>473.02</v>
      </c>
      <c r="L325" s="3">
        <v>176.97</v>
      </c>
      <c r="M325" s="3">
        <v>353.94</v>
      </c>
      <c r="N325" s="3">
        <v>119.08</v>
      </c>
      <c r="O325" s="4">
        <v>0.25174411229969135</v>
      </c>
      <c r="P325" s="3">
        <v>135000</v>
      </c>
    </row>
    <row r="326" spans="1:16">
      <c r="A326" t="s">
        <v>378</v>
      </c>
      <c r="B326" s="2">
        <v>45924</v>
      </c>
      <c r="C326" t="s">
        <v>24</v>
      </c>
      <c r="D326" t="s">
        <v>49</v>
      </c>
      <c r="E326" t="s">
        <v>19</v>
      </c>
      <c r="F326" t="s">
        <v>50</v>
      </c>
      <c r="G326" t="s">
        <v>21</v>
      </c>
      <c r="H326" t="s">
        <v>47</v>
      </c>
      <c r="I326" s="5">
        <v>3</v>
      </c>
      <c r="J326" s="3">
        <v>43.69</v>
      </c>
      <c r="K326" s="3">
        <v>131.07</v>
      </c>
      <c r="L326" s="3">
        <v>23.99</v>
      </c>
      <c r="M326" s="3">
        <v>71.97</v>
      </c>
      <c r="N326" s="3">
        <v>59.1</v>
      </c>
      <c r="O326" s="4">
        <v>0.45090409704737927</v>
      </c>
      <c r="P326" s="3">
        <v>135000</v>
      </c>
    </row>
    <row r="327" spans="1:16">
      <c r="A327" t="s">
        <v>379</v>
      </c>
      <c r="B327" s="2">
        <v>45961</v>
      </c>
      <c r="C327" t="s">
        <v>17</v>
      </c>
      <c r="D327" t="s">
        <v>38</v>
      </c>
      <c r="E327" t="s">
        <v>19</v>
      </c>
      <c r="F327" t="s">
        <v>20</v>
      </c>
      <c r="G327" t="s">
        <v>35</v>
      </c>
      <c r="H327" t="s">
        <v>63</v>
      </c>
      <c r="I327" s="5">
        <v>5</v>
      </c>
      <c r="J327" s="3">
        <v>282.67</v>
      </c>
      <c r="K327" s="3">
        <v>1413.35</v>
      </c>
      <c r="L327" s="3">
        <v>189.47</v>
      </c>
      <c r="M327" s="3">
        <v>947.35</v>
      </c>
      <c r="N327" s="3">
        <v>466</v>
      </c>
      <c r="O327" s="4">
        <v>0.32971309300597873</v>
      </c>
      <c r="P327" s="3">
        <v>140000</v>
      </c>
    </row>
    <row r="328" spans="1:16">
      <c r="A328" t="s">
        <v>380</v>
      </c>
      <c r="B328" s="2">
        <v>45859</v>
      </c>
      <c r="C328" t="s">
        <v>40</v>
      </c>
      <c r="D328" t="s">
        <v>46</v>
      </c>
      <c r="E328" t="s">
        <v>19</v>
      </c>
      <c r="F328" t="s">
        <v>20</v>
      </c>
      <c r="G328" t="s">
        <v>35</v>
      </c>
      <c r="H328" t="s">
        <v>58</v>
      </c>
      <c r="I328" s="5">
        <v>3</v>
      </c>
      <c r="J328" s="3">
        <v>1018.01</v>
      </c>
      <c r="K328" s="3">
        <v>3054.03</v>
      </c>
      <c r="L328" s="3">
        <v>733.3</v>
      </c>
      <c r="M328" s="3">
        <v>2199.9</v>
      </c>
      <c r="N328" s="3">
        <v>854.13</v>
      </c>
      <c r="O328" s="4">
        <v>0.27967308769069066</v>
      </c>
      <c r="P328" s="3">
        <v>165000</v>
      </c>
    </row>
    <row r="329" spans="1:16">
      <c r="A329" t="s">
        <v>381</v>
      </c>
      <c r="B329" s="2">
        <v>45737</v>
      </c>
      <c r="C329" t="s">
        <v>17</v>
      </c>
      <c r="D329" t="s">
        <v>60</v>
      </c>
      <c r="E329" t="s">
        <v>26</v>
      </c>
      <c r="F329" t="s">
        <v>20</v>
      </c>
      <c r="G329" t="s">
        <v>21</v>
      </c>
      <c r="H329" t="s">
        <v>47</v>
      </c>
      <c r="I329" s="5">
        <v>6</v>
      </c>
      <c r="J329" s="3">
        <v>46.71</v>
      </c>
      <c r="K329" s="3">
        <v>280.26</v>
      </c>
      <c r="L329" s="3">
        <v>23.54</v>
      </c>
      <c r="M329" s="3">
        <v>141.24</v>
      </c>
      <c r="N329" s="3">
        <v>139.02000000000001</v>
      </c>
      <c r="O329" s="4">
        <v>0.49603939199314928</v>
      </c>
      <c r="P329" s="3">
        <v>140000</v>
      </c>
    </row>
    <row r="330" spans="1:16">
      <c r="A330" t="s">
        <v>382</v>
      </c>
      <c r="B330" s="2">
        <v>45815</v>
      </c>
      <c r="C330" t="s">
        <v>24</v>
      </c>
      <c r="D330" t="s">
        <v>49</v>
      </c>
      <c r="E330" t="s">
        <v>42</v>
      </c>
      <c r="F330" t="s">
        <v>20</v>
      </c>
      <c r="G330" t="s">
        <v>35</v>
      </c>
      <c r="H330" t="s">
        <v>63</v>
      </c>
      <c r="I330" s="5">
        <v>1</v>
      </c>
      <c r="J330" s="3">
        <v>246.3</v>
      </c>
      <c r="K330" s="3">
        <v>246.3</v>
      </c>
      <c r="L330" s="3">
        <v>188.22</v>
      </c>
      <c r="M330" s="3">
        <v>188.22</v>
      </c>
      <c r="N330" s="3">
        <v>58.08</v>
      </c>
      <c r="O330" s="4">
        <v>0.235809987819732</v>
      </c>
      <c r="P330" s="3">
        <v>135000</v>
      </c>
    </row>
    <row r="331" spans="1:16">
      <c r="A331" t="s">
        <v>383</v>
      </c>
      <c r="B331" s="2">
        <v>45733</v>
      </c>
      <c r="C331" t="s">
        <v>17</v>
      </c>
      <c r="D331" t="s">
        <v>60</v>
      </c>
      <c r="E331" t="s">
        <v>42</v>
      </c>
      <c r="F331" t="s">
        <v>20</v>
      </c>
      <c r="G331" t="s">
        <v>21</v>
      </c>
      <c r="H331" t="s">
        <v>31</v>
      </c>
      <c r="I331" s="5">
        <v>5</v>
      </c>
      <c r="J331" s="3">
        <v>11.49</v>
      </c>
      <c r="K331" s="3">
        <v>57.45</v>
      </c>
      <c r="L331" s="3">
        <v>6.35</v>
      </c>
      <c r="M331" s="3">
        <v>31.75</v>
      </c>
      <c r="N331" s="3">
        <v>25.7</v>
      </c>
      <c r="O331" s="4">
        <v>0.44734551784160137</v>
      </c>
      <c r="P331" s="3">
        <v>140000</v>
      </c>
    </row>
    <row r="332" spans="1:16">
      <c r="A332" t="s">
        <v>384</v>
      </c>
      <c r="B332" s="2">
        <v>45673</v>
      </c>
      <c r="C332" t="s">
        <v>24</v>
      </c>
      <c r="D332" t="s">
        <v>74</v>
      </c>
      <c r="E332" t="s">
        <v>19</v>
      </c>
      <c r="F332" t="s">
        <v>50</v>
      </c>
      <c r="G332" t="s">
        <v>21</v>
      </c>
      <c r="H332" t="s">
        <v>47</v>
      </c>
      <c r="I332" s="5">
        <v>8</v>
      </c>
      <c r="J332" s="3">
        <v>38.74</v>
      </c>
      <c r="K332" s="3">
        <v>309.92</v>
      </c>
      <c r="L332" s="3">
        <v>24.95</v>
      </c>
      <c r="M332" s="3">
        <v>199.6</v>
      </c>
      <c r="N332" s="3">
        <v>110.32</v>
      </c>
      <c r="O332" s="4">
        <v>0.35596282911719151</v>
      </c>
      <c r="P332" s="3">
        <v>135000</v>
      </c>
    </row>
    <row r="333" spans="1:16">
      <c r="A333" t="s">
        <v>385</v>
      </c>
      <c r="B333" s="2">
        <v>45720</v>
      </c>
      <c r="C333" t="s">
        <v>17</v>
      </c>
      <c r="D333" t="s">
        <v>18</v>
      </c>
      <c r="E333" t="s">
        <v>42</v>
      </c>
      <c r="F333" t="s">
        <v>43</v>
      </c>
      <c r="G333" t="s">
        <v>21</v>
      </c>
      <c r="H333" t="s">
        <v>22</v>
      </c>
      <c r="I333" s="5">
        <v>4</v>
      </c>
      <c r="J333" s="3">
        <v>30.27</v>
      </c>
      <c r="K333" s="3">
        <v>121.08</v>
      </c>
      <c r="L333" s="3">
        <v>14.96</v>
      </c>
      <c r="M333" s="3">
        <v>59.84</v>
      </c>
      <c r="N333" s="3">
        <v>61.24</v>
      </c>
      <c r="O333" s="4">
        <v>0.50578130161876445</v>
      </c>
      <c r="P333" s="3">
        <v>140000</v>
      </c>
    </row>
    <row r="334" spans="1:16">
      <c r="A334" t="s">
        <v>386</v>
      </c>
      <c r="B334" s="2">
        <v>45980</v>
      </c>
      <c r="C334" t="s">
        <v>17</v>
      </c>
      <c r="D334" t="s">
        <v>80</v>
      </c>
      <c r="E334" t="s">
        <v>42</v>
      </c>
      <c r="F334" t="s">
        <v>20</v>
      </c>
      <c r="G334" t="s">
        <v>21</v>
      </c>
      <c r="H334" t="s">
        <v>47</v>
      </c>
      <c r="I334" s="5">
        <v>4</v>
      </c>
      <c r="J334" s="3">
        <v>46.14</v>
      </c>
      <c r="K334" s="3">
        <v>184.56</v>
      </c>
      <c r="L334" s="3">
        <v>24.1</v>
      </c>
      <c r="M334" s="3">
        <v>96.4</v>
      </c>
      <c r="N334" s="3">
        <v>88.16</v>
      </c>
      <c r="O334" s="4">
        <v>0.47767663632423057</v>
      </c>
      <c r="P334" s="3">
        <v>140000</v>
      </c>
    </row>
    <row r="335" spans="1:16">
      <c r="A335" t="s">
        <v>387</v>
      </c>
      <c r="B335" s="2">
        <v>45723</v>
      </c>
      <c r="C335" t="s">
        <v>17</v>
      </c>
      <c r="D335" t="s">
        <v>80</v>
      </c>
      <c r="E335" t="s">
        <v>26</v>
      </c>
      <c r="F335" t="s">
        <v>43</v>
      </c>
      <c r="G335" t="s">
        <v>21</v>
      </c>
      <c r="H335" t="s">
        <v>31</v>
      </c>
      <c r="I335" s="5">
        <v>3</v>
      </c>
      <c r="J335" s="3">
        <v>13.24</v>
      </c>
      <c r="K335" s="3">
        <v>39.72</v>
      </c>
      <c r="L335" s="3">
        <v>6.02</v>
      </c>
      <c r="M335" s="3">
        <v>18.059999999999999</v>
      </c>
      <c r="N335" s="3">
        <v>21.66</v>
      </c>
      <c r="O335" s="4">
        <v>0.54531722054380671</v>
      </c>
      <c r="P335" s="3">
        <v>140000</v>
      </c>
    </row>
    <row r="336" spans="1:16">
      <c r="A336" t="s">
        <v>388</v>
      </c>
      <c r="B336" s="2">
        <v>45860</v>
      </c>
      <c r="C336" t="s">
        <v>24</v>
      </c>
      <c r="D336" t="s">
        <v>25</v>
      </c>
      <c r="E336" t="s">
        <v>26</v>
      </c>
      <c r="F336" t="s">
        <v>20</v>
      </c>
      <c r="G336" t="s">
        <v>35</v>
      </c>
      <c r="H336" t="s">
        <v>36</v>
      </c>
      <c r="I336" s="5">
        <v>4</v>
      </c>
      <c r="J336" s="3">
        <v>38.49</v>
      </c>
      <c r="K336" s="3">
        <v>153.96</v>
      </c>
      <c r="L336" s="3">
        <v>17.77</v>
      </c>
      <c r="M336" s="3">
        <v>71.08</v>
      </c>
      <c r="N336" s="3">
        <v>82.88</v>
      </c>
      <c r="O336" s="4">
        <v>0.53832164198493104</v>
      </c>
      <c r="P336" s="3">
        <v>135000</v>
      </c>
    </row>
    <row r="337" spans="1:16">
      <c r="A337" t="s">
        <v>389</v>
      </c>
      <c r="B337" s="2">
        <v>45886</v>
      </c>
      <c r="C337" t="s">
        <v>33</v>
      </c>
      <c r="D337" t="s">
        <v>52</v>
      </c>
      <c r="E337" t="s">
        <v>19</v>
      </c>
      <c r="F337" t="s">
        <v>50</v>
      </c>
      <c r="G337" t="s">
        <v>35</v>
      </c>
      <c r="H337" t="s">
        <v>63</v>
      </c>
      <c r="I337" s="5">
        <v>8</v>
      </c>
      <c r="J337" s="3">
        <v>257.57</v>
      </c>
      <c r="K337" s="3">
        <v>2060.56</v>
      </c>
      <c r="L337" s="3">
        <v>182.71</v>
      </c>
      <c r="M337" s="3">
        <v>1461.68</v>
      </c>
      <c r="N337" s="3">
        <v>598.88</v>
      </c>
      <c r="O337" s="4">
        <v>0.29063943782272783</v>
      </c>
      <c r="P337" s="3">
        <v>155000</v>
      </c>
    </row>
    <row r="338" spans="1:16">
      <c r="A338" t="s">
        <v>390</v>
      </c>
      <c r="B338" s="2">
        <v>45689</v>
      </c>
      <c r="C338" t="s">
        <v>17</v>
      </c>
      <c r="D338" t="s">
        <v>80</v>
      </c>
      <c r="E338" t="s">
        <v>26</v>
      </c>
      <c r="F338" t="s">
        <v>20</v>
      </c>
      <c r="G338" t="s">
        <v>27</v>
      </c>
      <c r="H338" t="s">
        <v>28</v>
      </c>
      <c r="I338" s="5">
        <v>4</v>
      </c>
      <c r="J338" s="3">
        <v>186.98</v>
      </c>
      <c r="K338" s="3">
        <v>747.92</v>
      </c>
      <c r="L338" s="3">
        <v>119.62</v>
      </c>
      <c r="M338" s="3">
        <v>478.48</v>
      </c>
      <c r="N338" s="3">
        <v>269.44</v>
      </c>
      <c r="O338" s="4">
        <v>0.36025243341533858</v>
      </c>
      <c r="P338" s="3">
        <v>140000</v>
      </c>
    </row>
    <row r="339" spans="1:16">
      <c r="A339" t="s">
        <v>391</v>
      </c>
      <c r="B339" s="2">
        <v>45667</v>
      </c>
      <c r="C339" t="s">
        <v>24</v>
      </c>
      <c r="D339" t="s">
        <v>49</v>
      </c>
      <c r="E339" t="s">
        <v>19</v>
      </c>
      <c r="F339" t="s">
        <v>50</v>
      </c>
      <c r="G339" t="s">
        <v>35</v>
      </c>
      <c r="H339" t="s">
        <v>36</v>
      </c>
      <c r="I339" s="5">
        <v>6</v>
      </c>
      <c r="J339" s="3">
        <v>34.49</v>
      </c>
      <c r="K339" s="3">
        <v>206.94</v>
      </c>
      <c r="L339" s="3">
        <v>17.600000000000001</v>
      </c>
      <c r="M339" s="3">
        <v>105.6</v>
      </c>
      <c r="N339" s="3">
        <v>101.34</v>
      </c>
      <c r="O339" s="4">
        <v>0.48970716149608584</v>
      </c>
      <c r="P339" s="3">
        <v>135000</v>
      </c>
    </row>
    <row r="340" spans="1:16">
      <c r="A340" t="s">
        <v>392</v>
      </c>
      <c r="B340" s="2">
        <v>45821</v>
      </c>
      <c r="C340" t="s">
        <v>33</v>
      </c>
      <c r="D340" t="s">
        <v>52</v>
      </c>
      <c r="E340" t="s">
        <v>42</v>
      </c>
      <c r="F340" t="s">
        <v>50</v>
      </c>
      <c r="G340" t="s">
        <v>21</v>
      </c>
      <c r="H340" t="s">
        <v>31</v>
      </c>
      <c r="I340" s="5">
        <v>8</v>
      </c>
      <c r="J340" s="3">
        <v>12.2</v>
      </c>
      <c r="K340" s="3">
        <v>97.6</v>
      </c>
      <c r="L340" s="3">
        <v>6.22</v>
      </c>
      <c r="M340" s="3">
        <v>49.76</v>
      </c>
      <c r="N340" s="3">
        <v>47.84</v>
      </c>
      <c r="O340" s="4">
        <v>0.49016393442622957</v>
      </c>
      <c r="P340" s="3">
        <v>155000</v>
      </c>
    </row>
    <row r="341" spans="1:16">
      <c r="A341" t="s">
        <v>393</v>
      </c>
      <c r="B341" s="2">
        <v>45777</v>
      </c>
      <c r="C341" t="s">
        <v>33</v>
      </c>
      <c r="D341" t="s">
        <v>52</v>
      </c>
      <c r="E341" t="s">
        <v>26</v>
      </c>
      <c r="F341" t="s">
        <v>20</v>
      </c>
      <c r="G341" t="s">
        <v>27</v>
      </c>
      <c r="H341" t="s">
        <v>28</v>
      </c>
      <c r="I341" s="5">
        <v>1</v>
      </c>
      <c r="J341" s="3">
        <v>192.26</v>
      </c>
      <c r="K341" s="3">
        <v>192.26</v>
      </c>
      <c r="L341" s="3">
        <v>121.3</v>
      </c>
      <c r="M341" s="3">
        <v>121.3</v>
      </c>
      <c r="N341" s="3">
        <v>70.959999999999994</v>
      </c>
      <c r="O341" s="4">
        <v>0.3690835327161136</v>
      </c>
      <c r="P341" s="3">
        <v>155000</v>
      </c>
    </row>
    <row r="342" spans="1:16">
      <c r="A342" t="s">
        <v>394</v>
      </c>
      <c r="B342" s="2">
        <v>45952</v>
      </c>
      <c r="C342" t="s">
        <v>24</v>
      </c>
      <c r="D342" t="s">
        <v>49</v>
      </c>
      <c r="E342" t="s">
        <v>42</v>
      </c>
      <c r="F342" t="s">
        <v>43</v>
      </c>
      <c r="G342" t="s">
        <v>21</v>
      </c>
      <c r="H342" t="s">
        <v>22</v>
      </c>
      <c r="I342" s="5">
        <v>3</v>
      </c>
      <c r="J342" s="3">
        <v>26.66</v>
      </c>
      <c r="K342" s="3">
        <v>79.98</v>
      </c>
      <c r="L342" s="3">
        <v>14.88</v>
      </c>
      <c r="M342" s="3">
        <v>44.64</v>
      </c>
      <c r="N342" s="3">
        <v>35.340000000000003</v>
      </c>
      <c r="O342" s="4">
        <v>0.44186046511627908</v>
      </c>
      <c r="P342" s="3">
        <v>135000</v>
      </c>
    </row>
    <row r="343" spans="1:16">
      <c r="A343" t="s">
        <v>395</v>
      </c>
      <c r="B343" s="2">
        <v>46015</v>
      </c>
      <c r="C343" t="s">
        <v>40</v>
      </c>
      <c r="D343" t="s">
        <v>41</v>
      </c>
      <c r="E343" t="s">
        <v>19</v>
      </c>
      <c r="F343" t="s">
        <v>20</v>
      </c>
      <c r="G343" t="s">
        <v>21</v>
      </c>
      <c r="H343" t="s">
        <v>22</v>
      </c>
      <c r="I343" s="5">
        <v>4</v>
      </c>
      <c r="J343" s="3">
        <v>30.35</v>
      </c>
      <c r="K343" s="3">
        <v>121.4</v>
      </c>
      <c r="L343" s="3">
        <v>15.62</v>
      </c>
      <c r="M343" s="3">
        <v>62.48</v>
      </c>
      <c r="N343" s="3">
        <v>58.92</v>
      </c>
      <c r="O343" s="4">
        <v>0.48533772652388796</v>
      </c>
      <c r="P343" s="3">
        <v>165000</v>
      </c>
    </row>
    <row r="344" spans="1:16">
      <c r="A344" t="s">
        <v>396</v>
      </c>
      <c r="B344" s="2">
        <v>45910</v>
      </c>
      <c r="C344" t="s">
        <v>40</v>
      </c>
      <c r="D344" t="s">
        <v>65</v>
      </c>
      <c r="E344" t="s">
        <v>19</v>
      </c>
      <c r="F344" t="s">
        <v>20</v>
      </c>
      <c r="G344" t="s">
        <v>35</v>
      </c>
      <c r="H344" t="s">
        <v>58</v>
      </c>
      <c r="I344" s="5">
        <v>4</v>
      </c>
      <c r="J344" s="3">
        <v>859.16</v>
      </c>
      <c r="K344" s="3">
        <v>3436.64</v>
      </c>
      <c r="L344" s="3">
        <v>725.62</v>
      </c>
      <c r="M344" s="3">
        <v>2902.48</v>
      </c>
      <c r="N344" s="3">
        <v>534.16</v>
      </c>
      <c r="O344" s="4">
        <v>0.1554308859816565</v>
      </c>
      <c r="P344" s="3">
        <v>165000</v>
      </c>
    </row>
    <row r="345" spans="1:16">
      <c r="A345" t="s">
        <v>397</v>
      </c>
      <c r="B345" s="2">
        <v>45827</v>
      </c>
      <c r="C345" t="s">
        <v>33</v>
      </c>
      <c r="D345" t="s">
        <v>68</v>
      </c>
      <c r="E345" t="s">
        <v>26</v>
      </c>
      <c r="F345" t="s">
        <v>20</v>
      </c>
      <c r="G345" t="s">
        <v>35</v>
      </c>
      <c r="H345" t="s">
        <v>36</v>
      </c>
      <c r="I345" s="5">
        <v>1</v>
      </c>
      <c r="J345" s="3">
        <v>31.67</v>
      </c>
      <c r="K345" s="3">
        <v>31.67</v>
      </c>
      <c r="L345" s="3">
        <v>18.34</v>
      </c>
      <c r="M345" s="3">
        <v>18.34</v>
      </c>
      <c r="N345" s="3">
        <v>13.33</v>
      </c>
      <c r="O345" s="4">
        <v>0.420903062835491</v>
      </c>
      <c r="P345" s="3">
        <v>155000</v>
      </c>
    </row>
    <row r="346" spans="1:16">
      <c r="A346" t="s">
        <v>398</v>
      </c>
      <c r="B346" s="2">
        <v>45730</v>
      </c>
      <c r="C346" t="s">
        <v>17</v>
      </c>
      <c r="D346" t="s">
        <v>80</v>
      </c>
      <c r="E346" t="s">
        <v>42</v>
      </c>
      <c r="F346" t="s">
        <v>20</v>
      </c>
      <c r="G346" t="s">
        <v>27</v>
      </c>
      <c r="H346" t="s">
        <v>44</v>
      </c>
      <c r="I346" s="5">
        <v>2</v>
      </c>
      <c r="J346" s="3">
        <v>311.69</v>
      </c>
      <c r="K346" s="3">
        <v>623.38</v>
      </c>
      <c r="L346" s="3">
        <v>208.37</v>
      </c>
      <c r="M346" s="3">
        <v>416.74</v>
      </c>
      <c r="N346" s="3">
        <v>206.64</v>
      </c>
      <c r="O346" s="4">
        <v>0.33148320446597579</v>
      </c>
      <c r="P346" s="3">
        <v>140000</v>
      </c>
    </row>
    <row r="347" spans="1:16">
      <c r="A347" t="s">
        <v>399</v>
      </c>
      <c r="B347" s="2">
        <v>45738</v>
      </c>
      <c r="C347" t="s">
        <v>24</v>
      </c>
      <c r="D347" t="s">
        <v>74</v>
      </c>
      <c r="E347" t="s">
        <v>19</v>
      </c>
      <c r="F347" t="s">
        <v>20</v>
      </c>
      <c r="G347" t="s">
        <v>27</v>
      </c>
      <c r="H347" t="s">
        <v>28</v>
      </c>
      <c r="I347" s="5">
        <v>6</v>
      </c>
      <c r="J347" s="3">
        <v>170.84</v>
      </c>
      <c r="K347" s="3">
        <v>1025.04</v>
      </c>
      <c r="L347" s="3">
        <v>117.17</v>
      </c>
      <c r="M347" s="3">
        <v>703.02</v>
      </c>
      <c r="N347" s="3">
        <v>322.02</v>
      </c>
      <c r="O347" s="4">
        <v>0.31415359400608756</v>
      </c>
      <c r="P347" s="3">
        <v>135000</v>
      </c>
    </row>
    <row r="348" spans="1:16">
      <c r="A348" t="s">
        <v>400</v>
      </c>
      <c r="B348" s="2">
        <v>45747</v>
      </c>
      <c r="C348" t="s">
        <v>24</v>
      </c>
      <c r="D348" t="s">
        <v>49</v>
      </c>
      <c r="E348" t="s">
        <v>19</v>
      </c>
      <c r="F348" t="s">
        <v>20</v>
      </c>
      <c r="G348" t="s">
        <v>21</v>
      </c>
      <c r="H348" t="s">
        <v>22</v>
      </c>
      <c r="I348" s="5">
        <v>1</v>
      </c>
      <c r="J348" s="3">
        <v>31.04</v>
      </c>
      <c r="K348" s="3">
        <v>31.04</v>
      </c>
      <c r="L348" s="3">
        <v>15.82</v>
      </c>
      <c r="M348" s="3">
        <v>15.82</v>
      </c>
      <c r="N348" s="3">
        <v>15.22</v>
      </c>
      <c r="O348" s="4">
        <v>0.49033505154639179</v>
      </c>
      <c r="P348" s="3">
        <v>135000</v>
      </c>
    </row>
    <row r="349" spans="1:16">
      <c r="A349" t="s">
        <v>401</v>
      </c>
      <c r="B349" s="2">
        <v>45858</v>
      </c>
      <c r="C349" t="s">
        <v>17</v>
      </c>
      <c r="D349" t="s">
        <v>60</v>
      </c>
      <c r="E349" t="s">
        <v>19</v>
      </c>
      <c r="F349" t="s">
        <v>43</v>
      </c>
      <c r="G349" t="s">
        <v>35</v>
      </c>
      <c r="H349" t="s">
        <v>58</v>
      </c>
      <c r="I349" s="5">
        <v>2</v>
      </c>
      <c r="J349" s="3">
        <v>1050.77</v>
      </c>
      <c r="K349" s="3">
        <v>2101.54</v>
      </c>
      <c r="L349" s="3">
        <v>701.33</v>
      </c>
      <c r="M349" s="3">
        <v>1402.66</v>
      </c>
      <c r="N349" s="3">
        <v>698.88</v>
      </c>
      <c r="O349" s="4">
        <v>0.33255612550796082</v>
      </c>
      <c r="P349" s="3">
        <v>140000</v>
      </c>
    </row>
    <row r="350" spans="1:16">
      <c r="A350" t="s">
        <v>402</v>
      </c>
      <c r="B350" s="2">
        <v>45697</v>
      </c>
      <c r="C350" t="s">
        <v>33</v>
      </c>
      <c r="D350" t="s">
        <v>34</v>
      </c>
      <c r="E350" t="s">
        <v>42</v>
      </c>
      <c r="F350" t="s">
        <v>20</v>
      </c>
      <c r="G350" t="s">
        <v>21</v>
      </c>
      <c r="H350" t="s">
        <v>47</v>
      </c>
      <c r="I350" s="5">
        <v>6</v>
      </c>
      <c r="J350" s="3">
        <v>41.93</v>
      </c>
      <c r="K350" s="3">
        <v>251.58</v>
      </c>
      <c r="L350" s="3">
        <v>23.68</v>
      </c>
      <c r="M350" s="3">
        <v>142.08000000000001</v>
      </c>
      <c r="N350" s="3">
        <v>109.5</v>
      </c>
      <c r="O350" s="4">
        <v>0.4352492248986406</v>
      </c>
      <c r="P350" s="3">
        <v>155000</v>
      </c>
    </row>
    <row r="351" spans="1:16">
      <c r="A351" t="s">
        <v>403</v>
      </c>
      <c r="B351" s="2">
        <v>45785</v>
      </c>
      <c r="C351" t="s">
        <v>17</v>
      </c>
      <c r="D351" t="s">
        <v>80</v>
      </c>
      <c r="E351" t="s">
        <v>26</v>
      </c>
      <c r="F351" t="s">
        <v>20</v>
      </c>
      <c r="G351" t="s">
        <v>21</v>
      </c>
      <c r="H351" t="s">
        <v>31</v>
      </c>
      <c r="I351" s="5">
        <v>1</v>
      </c>
      <c r="J351" s="3">
        <v>11.82</v>
      </c>
      <c r="K351" s="3">
        <v>11.82</v>
      </c>
      <c r="L351" s="3">
        <v>6.2</v>
      </c>
      <c r="M351" s="3">
        <v>6.2</v>
      </c>
      <c r="N351" s="3">
        <v>5.62</v>
      </c>
      <c r="O351" s="4">
        <v>0.47546531302876482</v>
      </c>
      <c r="P351" s="3">
        <v>140000</v>
      </c>
    </row>
    <row r="352" spans="1:16">
      <c r="A352" t="s">
        <v>404</v>
      </c>
      <c r="B352" s="2">
        <v>45743</v>
      </c>
      <c r="C352" t="s">
        <v>24</v>
      </c>
      <c r="D352" t="s">
        <v>74</v>
      </c>
      <c r="E352" t="s">
        <v>42</v>
      </c>
      <c r="F352" t="s">
        <v>20</v>
      </c>
      <c r="G352" t="s">
        <v>27</v>
      </c>
      <c r="H352" t="s">
        <v>44</v>
      </c>
      <c r="I352" s="5">
        <v>2</v>
      </c>
      <c r="J352" s="3">
        <v>346.35</v>
      </c>
      <c r="K352" s="3">
        <v>692.7</v>
      </c>
      <c r="L352" s="3">
        <v>218.16</v>
      </c>
      <c r="M352" s="3">
        <v>436.32</v>
      </c>
      <c r="N352" s="3">
        <v>256.38</v>
      </c>
      <c r="O352" s="4">
        <v>0.37011693373754867</v>
      </c>
      <c r="P352" s="3">
        <v>135000</v>
      </c>
    </row>
    <row r="353" spans="1:16">
      <c r="A353" t="s">
        <v>405</v>
      </c>
      <c r="B353" s="2">
        <v>45953</v>
      </c>
      <c r="C353" t="s">
        <v>33</v>
      </c>
      <c r="D353" t="s">
        <v>68</v>
      </c>
      <c r="E353" t="s">
        <v>19</v>
      </c>
      <c r="F353" t="s">
        <v>50</v>
      </c>
      <c r="G353" t="s">
        <v>21</v>
      </c>
      <c r="H353" t="s">
        <v>31</v>
      </c>
      <c r="I353" s="5">
        <v>5</v>
      </c>
      <c r="J353" s="3">
        <v>10.85</v>
      </c>
      <c r="K353" s="3">
        <v>54.25</v>
      </c>
      <c r="L353" s="3">
        <v>5.92</v>
      </c>
      <c r="M353" s="3">
        <v>29.6</v>
      </c>
      <c r="N353" s="3">
        <v>24.65</v>
      </c>
      <c r="O353" s="4">
        <v>0.45437788018433178</v>
      </c>
      <c r="P353" s="3">
        <v>155000</v>
      </c>
    </row>
    <row r="354" spans="1:16">
      <c r="A354" t="s">
        <v>406</v>
      </c>
      <c r="B354" s="2">
        <v>45711</v>
      </c>
      <c r="C354" t="s">
        <v>17</v>
      </c>
      <c r="D354" t="s">
        <v>80</v>
      </c>
      <c r="E354" t="s">
        <v>26</v>
      </c>
      <c r="F354" t="s">
        <v>20</v>
      </c>
      <c r="G354" t="s">
        <v>21</v>
      </c>
      <c r="H354" t="s">
        <v>47</v>
      </c>
      <c r="I354" s="5">
        <v>2</v>
      </c>
      <c r="J354" s="3">
        <v>40.92</v>
      </c>
      <c r="K354" s="3">
        <v>81.84</v>
      </c>
      <c r="L354" s="3">
        <v>25.4</v>
      </c>
      <c r="M354" s="3">
        <v>50.8</v>
      </c>
      <c r="N354" s="3">
        <v>31.04</v>
      </c>
      <c r="O354" s="4">
        <v>0.37927663734115347</v>
      </c>
      <c r="P354" s="3">
        <v>140000</v>
      </c>
    </row>
    <row r="355" spans="1:16">
      <c r="A355" t="s">
        <v>407</v>
      </c>
      <c r="B355" s="2">
        <v>45905</v>
      </c>
      <c r="C355" t="s">
        <v>17</v>
      </c>
      <c r="D355" t="s">
        <v>38</v>
      </c>
      <c r="E355" t="s">
        <v>42</v>
      </c>
      <c r="F355" t="s">
        <v>20</v>
      </c>
      <c r="G355" t="s">
        <v>27</v>
      </c>
      <c r="H355" t="s">
        <v>44</v>
      </c>
      <c r="I355" s="5">
        <v>3</v>
      </c>
      <c r="J355" s="3">
        <v>291.77</v>
      </c>
      <c r="K355" s="3">
        <v>875.31</v>
      </c>
      <c r="L355" s="3">
        <v>208.55</v>
      </c>
      <c r="M355" s="3">
        <v>625.65</v>
      </c>
      <c r="N355" s="3">
        <v>249.66</v>
      </c>
      <c r="O355" s="4">
        <v>0.28522466326215856</v>
      </c>
      <c r="P355" s="3">
        <v>140000</v>
      </c>
    </row>
    <row r="356" spans="1:16">
      <c r="A356" t="s">
        <v>408</v>
      </c>
      <c r="B356" s="2">
        <v>45755</v>
      </c>
      <c r="C356" t="s">
        <v>24</v>
      </c>
      <c r="D356" t="s">
        <v>49</v>
      </c>
      <c r="E356" t="s">
        <v>19</v>
      </c>
      <c r="F356" t="s">
        <v>20</v>
      </c>
      <c r="G356" t="s">
        <v>21</v>
      </c>
      <c r="H356" t="s">
        <v>47</v>
      </c>
      <c r="I356" s="5">
        <v>1</v>
      </c>
      <c r="J356" s="3">
        <v>41.43</v>
      </c>
      <c r="K356" s="3">
        <v>41.43</v>
      </c>
      <c r="L356" s="3">
        <v>24.36</v>
      </c>
      <c r="M356" s="3">
        <v>24.36</v>
      </c>
      <c r="N356" s="3">
        <v>17.07</v>
      </c>
      <c r="O356" s="4">
        <v>0.41202027516292544</v>
      </c>
      <c r="P356" s="3">
        <v>135000</v>
      </c>
    </row>
    <row r="357" spans="1:16">
      <c r="A357" t="s">
        <v>409</v>
      </c>
      <c r="B357" s="2">
        <v>45909</v>
      </c>
      <c r="C357" t="s">
        <v>33</v>
      </c>
      <c r="D357" t="s">
        <v>52</v>
      </c>
      <c r="E357" t="s">
        <v>26</v>
      </c>
      <c r="F357" t="s">
        <v>20</v>
      </c>
      <c r="G357" t="s">
        <v>35</v>
      </c>
      <c r="H357" t="s">
        <v>63</v>
      </c>
      <c r="I357" s="5">
        <v>8</v>
      </c>
      <c r="J357" s="3">
        <v>245.42</v>
      </c>
      <c r="K357" s="3">
        <v>1963.36</v>
      </c>
      <c r="L357" s="3">
        <v>173.26</v>
      </c>
      <c r="M357" s="3">
        <v>1386.08</v>
      </c>
      <c r="N357" s="3">
        <v>577.28</v>
      </c>
      <c r="O357" s="4">
        <v>0.2940265667019803</v>
      </c>
      <c r="P357" s="3">
        <v>155000</v>
      </c>
    </row>
    <row r="358" spans="1:16">
      <c r="A358" t="s">
        <v>410</v>
      </c>
      <c r="B358" s="2">
        <v>45745</v>
      </c>
      <c r="C358" t="s">
        <v>40</v>
      </c>
      <c r="D358" t="s">
        <v>41</v>
      </c>
      <c r="E358" t="s">
        <v>19</v>
      </c>
      <c r="F358" t="s">
        <v>20</v>
      </c>
      <c r="G358" t="s">
        <v>27</v>
      </c>
      <c r="H358" t="s">
        <v>44</v>
      </c>
      <c r="I358" s="5">
        <v>8</v>
      </c>
      <c r="J358" s="3">
        <v>322.43</v>
      </c>
      <c r="K358" s="3">
        <v>2579.44</v>
      </c>
      <c r="L358" s="3">
        <v>215.48</v>
      </c>
      <c r="M358" s="3">
        <v>1723.84</v>
      </c>
      <c r="N358" s="3">
        <v>855.6</v>
      </c>
      <c r="O358" s="4">
        <v>0.33169990385510034</v>
      </c>
      <c r="P358" s="3">
        <v>165000</v>
      </c>
    </row>
    <row r="359" spans="1:16">
      <c r="A359" t="s">
        <v>411</v>
      </c>
      <c r="B359" s="2">
        <v>45704</v>
      </c>
      <c r="C359" t="s">
        <v>24</v>
      </c>
      <c r="D359" t="s">
        <v>30</v>
      </c>
      <c r="E359" t="s">
        <v>26</v>
      </c>
      <c r="F359" t="s">
        <v>20</v>
      </c>
      <c r="G359" t="s">
        <v>21</v>
      </c>
      <c r="H359" t="s">
        <v>22</v>
      </c>
      <c r="I359" s="5">
        <v>8</v>
      </c>
      <c r="J359" s="3">
        <v>25.47</v>
      </c>
      <c r="K359" s="3">
        <v>203.76</v>
      </c>
      <c r="L359" s="3">
        <v>15.06</v>
      </c>
      <c r="M359" s="3">
        <v>120.48</v>
      </c>
      <c r="N359" s="3">
        <v>83.28</v>
      </c>
      <c r="O359" s="4">
        <v>0.408716136631331</v>
      </c>
      <c r="P359" s="3">
        <v>135000</v>
      </c>
    </row>
    <row r="360" spans="1:16">
      <c r="A360" t="s">
        <v>412</v>
      </c>
      <c r="B360" s="2">
        <v>45792</v>
      </c>
      <c r="C360" t="s">
        <v>33</v>
      </c>
      <c r="D360" t="s">
        <v>34</v>
      </c>
      <c r="E360" t="s">
        <v>19</v>
      </c>
      <c r="F360" t="s">
        <v>20</v>
      </c>
      <c r="G360" t="s">
        <v>21</v>
      </c>
      <c r="H360" t="s">
        <v>47</v>
      </c>
      <c r="I360" s="5">
        <v>2</v>
      </c>
      <c r="J360" s="3">
        <v>43.97</v>
      </c>
      <c r="K360" s="3">
        <v>87.94</v>
      </c>
      <c r="L360" s="3">
        <v>24.98</v>
      </c>
      <c r="M360" s="3">
        <v>49.96</v>
      </c>
      <c r="N360" s="3">
        <v>37.979999999999997</v>
      </c>
      <c r="O360" s="4">
        <v>0.43188537639299518</v>
      </c>
      <c r="P360" s="3">
        <v>155000</v>
      </c>
    </row>
    <row r="361" spans="1:16">
      <c r="A361" t="s">
        <v>413</v>
      </c>
      <c r="B361" s="2">
        <v>45869</v>
      </c>
      <c r="C361" t="s">
        <v>33</v>
      </c>
      <c r="D361" t="s">
        <v>52</v>
      </c>
      <c r="E361" t="s">
        <v>42</v>
      </c>
      <c r="F361" t="s">
        <v>43</v>
      </c>
      <c r="G361" t="s">
        <v>27</v>
      </c>
      <c r="H361" t="s">
        <v>44</v>
      </c>
      <c r="I361" s="5">
        <v>8</v>
      </c>
      <c r="J361" s="3">
        <v>328.32</v>
      </c>
      <c r="K361" s="3">
        <v>2626.56</v>
      </c>
      <c r="L361" s="3">
        <v>206.55</v>
      </c>
      <c r="M361" s="3">
        <v>1652.4</v>
      </c>
      <c r="N361" s="3">
        <v>974.16</v>
      </c>
      <c r="O361" s="4">
        <v>0.37088815789473684</v>
      </c>
      <c r="P361" s="3">
        <v>155000</v>
      </c>
    </row>
    <row r="362" spans="1:16">
      <c r="A362" t="s">
        <v>414</v>
      </c>
      <c r="B362" s="2">
        <v>45811</v>
      </c>
      <c r="C362" t="s">
        <v>17</v>
      </c>
      <c r="D362" t="s">
        <v>38</v>
      </c>
      <c r="E362" t="s">
        <v>42</v>
      </c>
      <c r="F362" t="s">
        <v>50</v>
      </c>
      <c r="G362" t="s">
        <v>27</v>
      </c>
      <c r="H362" t="s">
        <v>28</v>
      </c>
      <c r="I362" s="5">
        <v>3</v>
      </c>
      <c r="J362" s="3">
        <v>166.76</v>
      </c>
      <c r="K362" s="3">
        <v>500.28</v>
      </c>
      <c r="L362" s="3">
        <v>119.11</v>
      </c>
      <c r="M362" s="3">
        <v>357.33</v>
      </c>
      <c r="N362" s="3">
        <v>142.94999999999999</v>
      </c>
      <c r="O362" s="4">
        <v>0.28573998560805947</v>
      </c>
      <c r="P362" s="3">
        <v>140000</v>
      </c>
    </row>
    <row r="363" spans="1:16">
      <c r="A363" t="s">
        <v>415</v>
      </c>
      <c r="B363" s="2">
        <v>45746</v>
      </c>
      <c r="C363" t="s">
        <v>33</v>
      </c>
      <c r="D363" t="s">
        <v>68</v>
      </c>
      <c r="E363" t="s">
        <v>42</v>
      </c>
      <c r="F363" t="s">
        <v>20</v>
      </c>
      <c r="G363" t="s">
        <v>27</v>
      </c>
      <c r="H363" t="s">
        <v>44</v>
      </c>
      <c r="I363" s="5">
        <v>2</v>
      </c>
      <c r="J363" s="3">
        <v>357.57</v>
      </c>
      <c r="K363" s="3">
        <v>715.14</v>
      </c>
      <c r="L363" s="3">
        <v>210.74</v>
      </c>
      <c r="M363" s="3">
        <v>421.48</v>
      </c>
      <c r="N363" s="3">
        <v>293.66000000000003</v>
      </c>
      <c r="O363" s="4">
        <v>0.41063288307184609</v>
      </c>
      <c r="P363" s="3">
        <v>155000</v>
      </c>
    </row>
    <row r="364" spans="1:16">
      <c r="A364" t="s">
        <v>416</v>
      </c>
      <c r="B364" s="2">
        <v>45979</v>
      </c>
      <c r="C364" t="s">
        <v>33</v>
      </c>
      <c r="D364" t="s">
        <v>34</v>
      </c>
      <c r="E364" t="s">
        <v>26</v>
      </c>
      <c r="F364" t="s">
        <v>50</v>
      </c>
      <c r="G364" t="s">
        <v>21</v>
      </c>
      <c r="H364" t="s">
        <v>47</v>
      </c>
      <c r="I364" s="5">
        <v>2</v>
      </c>
      <c r="J364" s="3">
        <v>41.39</v>
      </c>
      <c r="K364" s="3">
        <v>82.78</v>
      </c>
      <c r="L364" s="3">
        <v>23.99</v>
      </c>
      <c r="M364" s="3">
        <v>47.98</v>
      </c>
      <c r="N364" s="3">
        <v>34.799999999999997</v>
      </c>
      <c r="O364" s="4">
        <v>0.42039139888862043</v>
      </c>
      <c r="P364" s="3">
        <v>155000</v>
      </c>
    </row>
    <row r="365" spans="1:16">
      <c r="A365" t="s">
        <v>417</v>
      </c>
      <c r="B365" s="2">
        <v>45824</v>
      </c>
      <c r="C365" t="s">
        <v>40</v>
      </c>
      <c r="D365" t="s">
        <v>57</v>
      </c>
      <c r="E365" t="s">
        <v>42</v>
      </c>
      <c r="F365" t="s">
        <v>20</v>
      </c>
      <c r="G365" t="s">
        <v>27</v>
      </c>
      <c r="H365" t="s">
        <v>28</v>
      </c>
      <c r="I365" s="5">
        <v>7</v>
      </c>
      <c r="J365" s="3">
        <v>166.46</v>
      </c>
      <c r="K365" s="3">
        <v>1165.22</v>
      </c>
      <c r="L365" s="3">
        <v>112.12</v>
      </c>
      <c r="M365" s="3">
        <v>784.84</v>
      </c>
      <c r="N365" s="3">
        <v>380.38</v>
      </c>
      <c r="O365" s="4">
        <v>0.32644479154151146</v>
      </c>
      <c r="P365" s="3">
        <v>165000</v>
      </c>
    </row>
    <row r="366" spans="1:16">
      <c r="A366" t="s">
        <v>418</v>
      </c>
      <c r="B366" s="2">
        <v>45948</v>
      </c>
      <c r="C366" t="s">
        <v>17</v>
      </c>
      <c r="D366" t="s">
        <v>18</v>
      </c>
      <c r="E366" t="s">
        <v>19</v>
      </c>
      <c r="F366" t="s">
        <v>20</v>
      </c>
      <c r="G366" t="s">
        <v>35</v>
      </c>
      <c r="H366" t="s">
        <v>63</v>
      </c>
      <c r="I366" s="5">
        <v>6</v>
      </c>
      <c r="J366" s="3">
        <v>284.22000000000003</v>
      </c>
      <c r="K366" s="3">
        <v>1705.32</v>
      </c>
      <c r="L366" s="3">
        <v>177.55</v>
      </c>
      <c r="M366" s="3">
        <v>1065.3</v>
      </c>
      <c r="N366" s="3">
        <v>640.02</v>
      </c>
      <c r="O366" s="4">
        <v>0.37530786010836675</v>
      </c>
      <c r="P366" s="3">
        <v>140000</v>
      </c>
    </row>
    <row r="367" spans="1:16">
      <c r="A367" t="s">
        <v>419</v>
      </c>
      <c r="B367" s="2">
        <v>45993</v>
      </c>
      <c r="C367" t="s">
        <v>24</v>
      </c>
      <c r="D367" t="s">
        <v>74</v>
      </c>
      <c r="E367" t="s">
        <v>26</v>
      </c>
      <c r="F367" t="s">
        <v>20</v>
      </c>
      <c r="G367" t="s">
        <v>21</v>
      </c>
      <c r="H367" t="s">
        <v>22</v>
      </c>
      <c r="I367" s="5">
        <v>7</v>
      </c>
      <c r="J367" s="3">
        <v>25.44</v>
      </c>
      <c r="K367" s="3">
        <v>178.08</v>
      </c>
      <c r="L367" s="3">
        <v>15.73</v>
      </c>
      <c r="M367" s="3">
        <v>110.11</v>
      </c>
      <c r="N367" s="3">
        <v>67.97</v>
      </c>
      <c r="O367" s="4">
        <v>0.3816823899371069</v>
      </c>
      <c r="P367" s="3">
        <v>135000</v>
      </c>
    </row>
    <row r="368" spans="1:16">
      <c r="A368" t="s">
        <v>420</v>
      </c>
      <c r="B368" s="2">
        <v>45827</v>
      </c>
      <c r="C368" t="s">
        <v>33</v>
      </c>
      <c r="D368" t="s">
        <v>52</v>
      </c>
      <c r="E368" t="s">
        <v>19</v>
      </c>
      <c r="F368" t="s">
        <v>43</v>
      </c>
      <c r="G368" t="s">
        <v>35</v>
      </c>
      <c r="H368" t="s">
        <v>36</v>
      </c>
      <c r="I368" s="5">
        <v>1</v>
      </c>
      <c r="J368" s="3">
        <v>34.1</v>
      </c>
      <c r="K368" s="3">
        <v>34.1</v>
      </c>
      <c r="L368" s="3">
        <v>18.71</v>
      </c>
      <c r="M368" s="3">
        <v>18.71</v>
      </c>
      <c r="N368" s="3">
        <v>15.39</v>
      </c>
      <c r="O368" s="4">
        <v>0.45131964809384162</v>
      </c>
      <c r="P368" s="3">
        <v>155000</v>
      </c>
    </row>
    <row r="369" spans="1:16">
      <c r="A369" t="s">
        <v>421</v>
      </c>
      <c r="B369" s="2">
        <v>45817</v>
      </c>
      <c r="C369" t="s">
        <v>40</v>
      </c>
      <c r="D369" t="s">
        <v>57</v>
      </c>
      <c r="E369" t="s">
        <v>42</v>
      </c>
      <c r="F369" t="s">
        <v>50</v>
      </c>
      <c r="G369" t="s">
        <v>35</v>
      </c>
      <c r="H369" t="s">
        <v>58</v>
      </c>
      <c r="I369" s="5">
        <v>3</v>
      </c>
      <c r="J369" s="3">
        <v>917.8</v>
      </c>
      <c r="K369" s="3">
        <v>2753.4</v>
      </c>
      <c r="L369" s="3">
        <v>744.75</v>
      </c>
      <c r="M369" s="3">
        <v>2234.25</v>
      </c>
      <c r="N369" s="3">
        <v>519.15</v>
      </c>
      <c r="O369" s="4">
        <v>0.18854870342122465</v>
      </c>
      <c r="P369" s="3">
        <v>165000</v>
      </c>
    </row>
    <row r="370" spans="1:16">
      <c r="A370" t="s">
        <v>422</v>
      </c>
      <c r="B370" s="2">
        <v>45822</v>
      </c>
      <c r="C370" t="s">
        <v>40</v>
      </c>
      <c r="D370" t="s">
        <v>57</v>
      </c>
      <c r="E370" t="s">
        <v>19</v>
      </c>
      <c r="F370" t="s">
        <v>20</v>
      </c>
      <c r="G370" t="s">
        <v>27</v>
      </c>
      <c r="H370" t="s">
        <v>55</v>
      </c>
      <c r="I370" s="5">
        <v>4</v>
      </c>
      <c r="J370" s="3">
        <v>682.59</v>
      </c>
      <c r="K370" s="3">
        <v>2730.36</v>
      </c>
      <c r="L370" s="3">
        <v>430.31</v>
      </c>
      <c r="M370" s="3">
        <v>1721.24</v>
      </c>
      <c r="N370" s="3">
        <v>1009.12</v>
      </c>
      <c r="O370" s="4">
        <v>0.36959228819642831</v>
      </c>
      <c r="P370" s="3">
        <v>165000</v>
      </c>
    </row>
    <row r="371" spans="1:16">
      <c r="A371" t="s">
        <v>423</v>
      </c>
      <c r="B371" s="2">
        <v>45906</v>
      </c>
      <c r="C371" t="s">
        <v>40</v>
      </c>
      <c r="D371" t="s">
        <v>41</v>
      </c>
      <c r="E371" t="s">
        <v>19</v>
      </c>
      <c r="F371" t="s">
        <v>20</v>
      </c>
      <c r="G371" t="s">
        <v>35</v>
      </c>
      <c r="H371" t="s">
        <v>63</v>
      </c>
      <c r="I371" s="5">
        <v>7</v>
      </c>
      <c r="J371" s="3">
        <v>241.76</v>
      </c>
      <c r="K371" s="3">
        <v>1692.32</v>
      </c>
      <c r="L371" s="3">
        <v>188.12</v>
      </c>
      <c r="M371" s="3">
        <v>1316.84</v>
      </c>
      <c r="N371" s="3">
        <v>375.48</v>
      </c>
      <c r="O371" s="4">
        <v>0.22187293183322304</v>
      </c>
      <c r="P371" s="3">
        <v>165000</v>
      </c>
    </row>
    <row r="372" spans="1:16">
      <c r="A372" t="s">
        <v>424</v>
      </c>
      <c r="B372" s="2">
        <v>45949</v>
      </c>
      <c r="C372" t="s">
        <v>17</v>
      </c>
      <c r="D372" t="s">
        <v>60</v>
      </c>
      <c r="E372" t="s">
        <v>26</v>
      </c>
      <c r="F372" t="s">
        <v>43</v>
      </c>
      <c r="G372" t="s">
        <v>21</v>
      </c>
      <c r="H372" t="s">
        <v>31</v>
      </c>
      <c r="I372" s="5">
        <v>4</v>
      </c>
      <c r="J372" s="3">
        <v>10.89</v>
      </c>
      <c r="K372" s="3">
        <v>43.56</v>
      </c>
      <c r="L372" s="3">
        <v>5.79</v>
      </c>
      <c r="M372" s="3">
        <v>23.16</v>
      </c>
      <c r="N372" s="3">
        <v>20.399999999999999</v>
      </c>
      <c r="O372" s="4">
        <v>0.4683195592286501</v>
      </c>
      <c r="P372" s="3">
        <v>140000</v>
      </c>
    </row>
    <row r="373" spans="1:16">
      <c r="A373" t="s">
        <v>425</v>
      </c>
      <c r="B373" s="2">
        <v>45842</v>
      </c>
      <c r="C373" t="s">
        <v>33</v>
      </c>
      <c r="D373" t="s">
        <v>34</v>
      </c>
      <c r="E373" t="s">
        <v>26</v>
      </c>
      <c r="F373" t="s">
        <v>50</v>
      </c>
      <c r="G373" t="s">
        <v>27</v>
      </c>
      <c r="H373" t="s">
        <v>44</v>
      </c>
      <c r="I373" s="5">
        <v>2</v>
      </c>
      <c r="J373" s="3">
        <v>335.95</v>
      </c>
      <c r="K373" s="3">
        <v>671.9</v>
      </c>
      <c r="L373" s="3">
        <v>206.68</v>
      </c>
      <c r="M373" s="3">
        <v>413.36</v>
      </c>
      <c r="N373" s="3">
        <v>258.54000000000002</v>
      </c>
      <c r="O373" s="4">
        <v>0.38478940318499782</v>
      </c>
      <c r="P373" s="3">
        <v>155000</v>
      </c>
    </row>
    <row r="374" spans="1:16">
      <c r="A374" t="s">
        <v>426</v>
      </c>
      <c r="B374" s="2">
        <v>45908</v>
      </c>
      <c r="C374" t="s">
        <v>24</v>
      </c>
      <c r="D374" t="s">
        <v>30</v>
      </c>
      <c r="E374" t="s">
        <v>42</v>
      </c>
      <c r="F374" t="s">
        <v>50</v>
      </c>
      <c r="G374" t="s">
        <v>27</v>
      </c>
      <c r="H374" t="s">
        <v>28</v>
      </c>
      <c r="I374" s="5">
        <v>6</v>
      </c>
      <c r="J374" s="3">
        <v>175.63</v>
      </c>
      <c r="K374" s="3">
        <v>1053.78</v>
      </c>
      <c r="L374" s="3">
        <v>120.03</v>
      </c>
      <c r="M374" s="3">
        <v>720.18</v>
      </c>
      <c r="N374" s="3">
        <v>333.6</v>
      </c>
      <c r="O374" s="4">
        <v>0.31657461709275186</v>
      </c>
      <c r="P374" s="3">
        <v>135000</v>
      </c>
    </row>
    <row r="375" spans="1:16">
      <c r="A375" t="s">
        <v>427</v>
      </c>
      <c r="B375" s="2">
        <v>45790</v>
      </c>
      <c r="C375" t="s">
        <v>17</v>
      </c>
      <c r="D375" t="s">
        <v>80</v>
      </c>
      <c r="E375" t="s">
        <v>26</v>
      </c>
      <c r="F375" t="s">
        <v>20</v>
      </c>
      <c r="G375" t="s">
        <v>35</v>
      </c>
      <c r="H375" t="s">
        <v>58</v>
      </c>
      <c r="I375" s="5">
        <v>4</v>
      </c>
      <c r="J375" s="3">
        <v>990.3</v>
      </c>
      <c r="K375" s="3">
        <v>3961.2</v>
      </c>
      <c r="L375" s="3">
        <v>739.99</v>
      </c>
      <c r="M375" s="3">
        <v>2959.96</v>
      </c>
      <c r="N375" s="3">
        <v>1001.24</v>
      </c>
      <c r="O375" s="4">
        <v>0.25276178935676058</v>
      </c>
      <c r="P375" s="3">
        <v>140000</v>
      </c>
    </row>
    <row r="376" spans="1:16">
      <c r="A376" t="s">
        <v>428</v>
      </c>
      <c r="B376" s="2">
        <v>45795</v>
      </c>
      <c r="C376" t="s">
        <v>24</v>
      </c>
      <c r="D376" t="s">
        <v>25</v>
      </c>
      <c r="E376" t="s">
        <v>42</v>
      </c>
      <c r="F376" t="s">
        <v>43</v>
      </c>
      <c r="G376" t="s">
        <v>21</v>
      </c>
      <c r="H376" t="s">
        <v>31</v>
      </c>
      <c r="I376" s="5">
        <v>8</v>
      </c>
      <c r="J376" s="3">
        <v>13.21</v>
      </c>
      <c r="K376" s="3">
        <v>105.68</v>
      </c>
      <c r="L376" s="3">
        <v>6.15</v>
      </c>
      <c r="M376" s="3">
        <v>49.2</v>
      </c>
      <c r="N376" s="3">
        <v>56.48</v>
      </c>
      <c r="O376" s="4">
        <v>0.53444360333080998</v>
      </c>
      <c r="P376" s="3">
        <v>135000</v>
      </c>
    </row>
    <row r="377" spans="1:16">
      <c r="A377" t="s">
        <v>429</v>
      </c>
      <c r="B377" s="2">
        <v>45965</v>
      </c>
      <c r="C377" t="s">
        <v>17</v>
      </c>
      <c r="D377" t="s">
        <v>60</v>
      </c>
      <c r="E377" t="s">
        <v>26</v>
      </c>
      <c r="F377" t="s">
        <v>43</v>
      </c>
      <c r="G377" t="s">
        <v>35</v>
      </c>
      <c r="H377" t="s">
        <v>63</v>
      </c>
      <c r="I377" s="5">
        <v>5</v>
      </c>
      <c r="J377" s="3">
        <v>258.24</v>
      </c>
      <c r="K377" s="3">
        <v>1291.2</v>
      </c>
      <c r="L377" s="3">
        <v>179.58</v>
      </c>
      <c r="M377" s="3">
        <v>897.9</v>
      </c>
      <c r="N377" s="3">
        <v>393.3</v>
      </c>
      <c r="O377" s="4">
        <v>0.30460037174721188</v>
      </c>
      <c r="P377" s="3">
        <v>140000</v>
      </c>
    </row>
    <row r="378" spans="1:16">
      <c r="A378" t="s">
        <v>430</v>
      </c>
      <c r="B378" s="2">
        <v>45836</v>
      </c>
      <c r="C378" t="s">
        <v>24</v>
      </c>
      <c r="D378" t="s">
        <v>49</v>
      </c>
      <c r="E378" t="s">
        <v>26</v>
      </c>
      <c r="F378" t="s">
        <v>20</v>
      </c>
      <c r="G378" t="s">
        <v>27</v>
      </c>
      <c r="H378" t="s">
        <v>28</v>
      </c>
      <c r="I378" s="5">
        <v>7</v>
      </c>
      <c r="J378" s="3">
        <v>185.15</v>
      </c>
      <c r="K378" s="3">
        <v>1296.05</v>
      </c>
      <c r="L378" s="3">
        <v>110.48</v>
      </c>
      <c r="M378" s="3">
        <v>773.36</v>
      </c>
      <c r="N378" s="3">
        <v>522.69000000000005</v>
      </c>
      <c r="O378" s="4">
        <v>0.40329462597893606</v>
      </c>
      <c r="P378" s="3">
        <v>135000</v>
      </c>
    </row>
    <row r="379" spans="1:16">
      <c r="A379" t="s">
        <v>431</v>
      </c>
      <c r="B379" s="2">
        <v>45997</v>
      </c>
      <c r="C379" t="s">
        <v>40</v>
      </c>
      <c r="D379" t="s">
        <v>46</v>
      </c>
      <c r="E379" t="s">
        <v>26</v>
      </c>
      <c r="F379" t="s">
        <v>20</v>
      </c>
      <c r="G379" t="s">
        <v>21</v>
      </c>
      <c r="H379" t="s">
        <v>47</v>
      </c>
      <c r="I379" s="5">
        <v>6</v>
      </c>
      <c r="J379" s="3">
        <v>46.93</v>
      </c>
      <c r="K379" s="3">
        <v>281.58</v>
      </c>
      <c r="L379" s="3">
        <v>24.58</v>
      </c>
      <c r="M379" s="3">
        <v>147.47999999999999</v>
      </c>
      <c r="N379" s="3">
        <v>134.1</v>
      </c>
      <c r="O379" s="4">
        <v>0.47624121031323247</v>
      </c>
      <c r="P379" s="3">
        <v>165000</v>
      </c>
    </row>
    <row r="380" spans="1:16">
      <c r="A380" t="s">
        <v>432</v>
      </c>
      <c r="B380" s="2">
        <v>45799</v>
      </c>
      <c r="C380" t="s">
        <v>40</v>
      </c>
      <c r="D380" t="s">
        <v>46</v>
      </c>
      <c r="E380" t="s">
        <v>26</v>
      </c>
      <c r="F380" t="s">
        <v>50</v>
      </c>
      <c r="G380" t="s">
        <v>35</v>
      </c>
      <c r="H380" t="s">
        <v>58</v>
      </c>
      <c r="I380" s="5">
        <v>1</v>
      </c>
      <c r="J380" s="3">
        <v>1023.33</v>
      </c>
      <c r="K380" s="3">
        <v>1023.33</v>
      </c>
      <c r="L380" s="3">
        <v>748.97</v>
      </c>
      <c r="M380" s="3">
        <v>748.97</v>
      </c>
      <c r="N380" s="3">
        <v>274.36</v>
      </c>
      <c r="O380" s="4">
        <v>0.26810510783422747</v>
      </c>
      <c r="P380" s="3">
        <v>165000</v>
      </c>
    </row>
    <row r="381" spans="1:16">
      <c r="A381" t="s">
        <v>433</v>
      </c>
      <c r="B381" s="2">
        <v>45965</v>
      </c>
      <c r="C381" t="s">
        <v>24</v>
      </c>
      <c r="D381" t="s">
        <v>49</v>
      </c>
      <c r="E381" t="s">
        <v>19</v>
      </c>
      <c r="F381" t="s">
        <v>50</v>
      </c>
      <c r="G381" t="s">
        <v>27</v>
      </c>
      <c r="H381" t="s">
        <v>55</v>
      </c>
      <c r="I381" s="5">
        <v>5</v>
      </c>
      <c r="J381" s="3">
        <v>593.39</v>
      </c>
      <c r="K381" s="3">
        <v>2966.95</v>
      </c>
      <c r="L381" s="3">
        <v>430.8</v>
      </c>
      <c r="M381" s="3">
        <v>2154</v>
      </c>
      <c r="N381" s="3">
        <v>812.95</v>
      </c>
      <c r="O381" s="4">
        <v>0.27400192116483263</v>
      </c>
      <c r="P381" s="3">
        <v>135000</v>
      </c>
    </row>
    <row r="382" spans="1:16">
      <c r="A382" t="s">
        <v>434</v>
      </c>
      <c r="B382" s="2">
        <v>45856</v>
      </c>
      <c r="C382" t="s">
        <v>17</v>
      </c>
      <c r="D382" t="s">
        <v>60</v>
      </c>
      <c r="E382" t="s">
        <v>26</v>
      </c>
      <c r="F382" t="s">
        <v>50</v>
      </c>
      <c r="G382" t="s">
        <v>27</v>
      </c>
      <c r="H382" t="s">
        <v>28</v>
      </c>
      <c r="I382" s="5">
        <v>8</v>
      </c>
      <c r="J382" s="3">
        <v>197.9</v>
      </c>
      <c r="K382" s="3">
        <v>1583.2</v>
      </c>
      <c r="L382" s="3">
        <v>118.13</v>
      </c>
      <c r="M382" s="3">
        <v>945.04</v>
      </c>
      <c r="N382" s="3">
        <v>638.16</v>
      </c>
      <c r="O382" s="4">
        <v>0.40308236483072257</v>
      </c>
      <c r="P382" s="3">
        <v>140000</v>
      </c>
    </row>
    <row r="383" spans="1:16">
      <c r="A383" t="s">
        <v>435</v>
      </c>
      <c r="B383" s="2">
        <v>45917</v>
      </c>
      <c r="C383" t="s">
        <v>40</v>
      </c>
      <c r="D383" t="s">
        <v>65</v>
      </c>
      <c r="E383" t="s">
        <v>42</v>
      </c>
      <c r="F383" t="s">
        <v>43</v>
      </c>
      <c r="G383" t="s">
        <v>21</v>
      </c>
      <c r="H383" t="s">
        <v>22</v>
      </c>
      <c r="I383" s="5">
        <v>5</v>
      </c>
      <c r="J383" s="3">
        <v>25.8</v>
      </c>
      <c r="K383" s="3">
        <v>129</v>
      </c>
      <c r="L383" s="3">
        <v>14.59</v>
      </c>
      <c r="M383" s="3">
        <v>72.95</v>
      </c>
      <c r="N383" s="3">
        <v>56.05</v>
      </c>
      <c r="O383" s="4">
        <v>0.43449612403100774</v>
      </c>
      <c r="P383" s="3">
        <v>165000</v>
      </c>
    </row>
    <row r="384" spans="1:16">
      <c r="A384" t="s">
        <v>436</v>
      </c>
      <c r="B384" s="2">
        <v>45790</v>
      </c>
      <c r="C384" t="s">
        <v>33</v>
      </c>
      <c r="D384" t="s">
        <v>34</v>
      </c>
      <c r="E384" t="s">
        <v>19</v>
      </c>
      <c r="F384" t="s">
        <v>20</v>
      </c>
      <c r="G384" t="s">
        <v>35</v>
      </c>
      <c r="H384" t="s">
        <v>58</v>
      </c>
      <c r="I384" s="5">
        <v>5</v>
      </c>
      <c r="J384" s="3">
        <v>942.88</v>
      </c>
      <c r="K384" s="3">
        <v>4714.3999999999996</v>
      </c>
      <c r="L384" s="3">
        <v>755.05</v>
      </c>
      <c r="M384" s="3">
        <v>3775.25</v>
      </c>
      <c r="N384" s="3">
        <v>939.15</v>
      </c>
      <c r="O384" s="4">
        <v>0.19920880705922281</v>
      </c>
      <c r="P384" s="3">
        <v>155000</v>
      </c>
    </row>
    <row r="385" spans="1:16">
      <c r="A385" t="s">
        <v>437</v>
      </c>
      <c r="B385" s="2">
        <v>45848</v>
      </c>
      <c r="C385" t="s">
        <v>40</v>
      </c>
      <c r="D385" t="s">
        <v>46</v>
      </c>
      <c r="E385" t="s">
        <v>19</v>
      </c>
      <c r="F385" t="s">
        <v>20</v>
      </c>
      <c r="G385" t="s">
        <v>21</v>
      </c>
      <c r="H385" t="s">
        <v>31</v>
      </c>
      <c r="I385" s="5">
        <v>2</v>
      </c>
      <c r="J385" s="3">
        <v>12.05</v>
      </c>
      <c r="K385" s="3">
        <v>24.1</v>
      </c>
      <c r="L385" s="3">
        <v>5.88</v>
      </c>
      <c r="M385" s="3">
        <v>11.76</v>
      </c>
      <c r="N385" s="3">
        <v>12.34</v>
      </c>
      <c r="O385" s="4">
        <v>0.51203319502074685</v>
      </c>
      <c r="P385" s="3">
        <v>165000</v>
      </c>
    </row>
    <row r="386" spans="1:16">
      <c r="A386" t="s">
        <v>438</v>
      </c>
      <c r="B386" s="2">
        <v>45719</v>
      </c>
      <c r="C386" t="s">
        <v>24</v>
      </c>
      <c r="D386" t="s">
        <v>49</v>
      </c>
      <c r="E386" t="s">
        <v>26</v>
      </c>
      <c r="F386" t="s">
        <v>43</v>
      </c>
      <c r="G386" t="s">
        <v>21</v>
      </c>
      <c r="H386" t="s">
        <v>22</v>
      </c>
      <c r="I386" s="5">
        <v>3</v>
      </c>
      <c r="J386" s="3">
        <v>31.31</v>
      </c>
      <c r="K386" s="3">
        <v>93.93</v>
      </c>
      <c r="L386" s="3">
        <v>14.91</v>
      </c>
      <c r="M386" s="3">
        <v>44.73</v>
      </c>
      <c r="N386" s="3">
        <v>49.2</v>
      </c>
      <c r="O386" s="4">
        <v>0.52379431491536255</v>
      </c>
      <c r="P386" s="3">
        <v>135000</v>
      </c>
    </row>
    <row r="387" spans="1:16">
      <c r="A387" t="s">
        <v>439</v>
      </c>
      <c r="B387" s="2">
        <v>45949</v>
      </c>
      <c r="C387" t="s">
        <v>24</v>
      </c>
      <c r="D387" t="s">
        <v>30</v>
      </c>
      <c r="E387" t="s">
        <v>26</v>
      </c>
      <c r="F387" t="s">
        <v>50</v>
      </c>
      <c r="G387" t="s">
        <v>21</v>
      </c>
      <c r="H387" t="s">
        <v>47</v>
      </c>
      <c r="I387" s="5">
        <v>8</v>
      </c>
      <c r="J387" s="3">
        <v>40.869999999999997</v>
      </c>
      <c r="K387" s="3">
        <v>326.95999999999998</v>
      </c>
      <c r="L387" s="3">
        <v>25.41</v>
      </c>
      <c r="M387" s="3">
        <v>203.28</v>
      </c>
      <c r="N387" s="3">
        <v>123.68</v>
      </c>
      <c r="O387" s="4">
        <v>0.37827257156838762</v>
      </c>
      <c r="P387" s="3">
        <v>135000</v>
      </c>
    </row>
    <row r="388" spans="1:16">
      <c r="A388" t="s">
        <v>440</v>
      </c>
      <c r="B388" s="2">
        <v>45818</v>
      </c>
      <c r="C388" t="s">
        <v>17</v>
      </c>
      <c r="D388" t="s">
        <v>18</v>
      </c>
      <c r="E388" t="s">
        <v>19</v>
      </c>
      <c r="F388" t="s">
        <v>20</v>
      </c>
      <c r="G388" t="s">
        <v>21</v>
      </c>
      <c r="H388" t="s">
        <v>22</v>
      </c>
      <c r="I388" s="5">
        <v>3</v>
      </c>
      <c r="J388" s="3">
        <v>28.22</v>
      </c>
      <c r="K388" s="3">
        <v>84.66</v>
      </c>
      <c r="L388" s="3">
        <v>15.55</v>
      </c>
      <c r="M388" s="3">
        <v>46.65</v>
      </c>
      <c r="N388" s="3">
        <v>38.01</v>
      </c>
      <c r="O388" s="4">
        <v>0.44897236002834867</v>
      </c>
      <c r="P388" s="3">
        <v>140000</v>
      </c>
    </row>
    <row r="389" spans="1:16">
      <c r="A389" t="s">
        <v>441</v>
      </c>
      <c r="B389" s="2">
        <v>45703</v>
      </c>
      <c r="C389" t="s">
        <v>33</v>
      </c>
      <c r="D389" t="s">
        <v>54</v>
      </c>
      <c r="E389" t="s">
        <v>19</v>
      </c>
      <c r="F389" t="s">
        <v>20</v>
      </c>
      <c r="G389" t="s">
        <v>27</v>
      </c>
      <c r="H389" t="s">
        <v>55</v>
      </c>
      <c r="I389" s="5">
        <v>7</v>
      </c>
      <c r="J389" s="3">
        <v>558.64</v>
      </c>
      <c r="K389" s="3">
        <v>3910.48</v>
      </c>
      <c r="L389" s="3">
        <v>435.75</v>
      </c>
      <c r="M389" s="3">
        <v>3050.25</v>
      </c>
      <c r="N389" s="3">
        <v>860.23</v>
      </c>
      <c r="O389" s="4">
        <v>0.21998066733495633</v>
      </c>
      <c r="P389" s="3">
        <v>155000</v>
      </c>
    </row>
    <row r="390" spans="1:16">
      <c r="A390" t="s">
        <v>442</v>
      </c>
      <c r="B390" s="2">
        <v>45849</v>
      </c>
      <c r="C390" t="s">
        <v>17</v>
      </c>
      <c r="D390" t="s">
        <v>80</v>
      </c>
      <c r="E390" t="s">
        <v>42</v>
      </c>
      <c r="F390" t="s">
        <v>50</v>
      </c>
      <c r="G390" t="s">
        <v>21</v>
      </c>
      <c r="H390" t="s">
        <v>31</v>
      </c>
      <c r="I390" s="5">
        <v>1</v>
      </c>
      <c r="J390" s="3">
        <v>12.45</v>
      </c>
      <c r="K390" s="3">
        <v>12.45</v>
      </c>
      <c r="L390" s="3">
        <v>5.91</v>
      </c>
      <c r="M390" s="3">
        <v>5.91</v>
      </c>
      <c r="N390" s="3">
        <v>6.54</v>
      </c>
      <c r="O390" s="4">
        <v>0.52530120481927711</v>
      </c>
      <c r="P390" s="3">
        <v>140000</v>
      </c>
    </row>
    <row r="391" spans="1:16">
      <c r="A391" t="s">
        <v>443</v>
      </c>
      <c r="B391" s="2">
        <v>46013</v>
      </c>
      <c r="C391" t="s">
        <v>40</v>
      </c>
      <c r="D391" t="s">
        <v>46</v>
      </c>
      <c r="E391" t="s">
        <v>26</v>
      </c>
      <c r="F391" t="s">
        <v>20</v>
      </c>
      <c r="G391" t="s">
        <v>35</v>
      </c>
      <c r="H391" t="s">
        <v>63</v>
      </c>
      <c r="I391" s="5">
        <v>3</v>
      </c>
      <c r="J391" s="3">
        <v>237.73</v>
      </c>
      <c r="K391" s="3">
        <v>713.19</v>
      </c>
      <c r="L391" s="3">
        <v>173.62</v>
      </c>
      <c r="M391" s="3">
        <v>520.86</v>
      </c>
      <c r="N391" s="3">
        <v>192.33</v>
      </c>
      <c r="O391" s="4">
        <v>0.26967568249695034</v>
      </c>
      <c r="P391" s="3">
        <v>165000</v>
      </c>
    </row>
    <row r="392" spans="1:16">
      <c r="A392" t="s">
        <v>444</v>
      </c>
      <c r="B392" s="2">
        <v>45806</v>
      </c>
      <c r="C392" t="s">
        <v>24</v>
      </c>
      <c r="D392" t="s">
        <v>49</v>
      </c>
      <c r="E392" t="s">
        <v>26</v>
      </c>
      <c r="F392" t="s">
        <v>50</v>
      </c>
      <c r="G392" t="s">
        <v>21</v>
      </c>
      <c r="H392" t="s">
        <v>22</v>
      </c>
      <c r="I392" s="5">
        <v>6</v>
      </c>
      <c r="J392" s="3">
        <v>31.34</v>
      </c>
      <c r="K392" s="3">
        <v>188.04</v>
      </c>
      <c r="L392" s="3">
        <v>15.14</v>
      </c>
      <c r="M392" s="3">
        <v>90.84</v>
      </c>
      <c r="N392" s="3">
        <v>97.2</v>
      </c>
      <c r="O392" s="4">
        <v>0.51691129546904913</v>
      </c>
      <c r="P392" s="3">
        <v>135000</v>
      </c>
    </row>
    <row r="393" spans="1:16">
      <c r="A393" t="s">
        <v>445</v>
      </c>
      <c r="B393" s="2">
        <v>45754</v>
      </c>
      <c r="C393" t="s">
        <v>33</v>
      </c>
      <c r="D393" t="s">
        <v>54</v>
      </c>
      <c r="E393" t="s">
        <v>26</v>
      </c>
      <c r="F393" t="s">
        <v>20</v>
      </c>
      <c r="G393" t="s">
        <v>21</v>
      </c>
      <c r="H393" t="s">
        <v>22</v>
      </c>
      <c r="I393" s="5">
        <v>4</v>
      </c>
      <c r="J393" s="3">
        <v>29.72</v>
      </c>
      <c r="K393" s="3">
        <v>118.88</v>
      </c>
      <c r="L393" s="3">
        <v>15.28</v>
      </c>
      <c r="M393" s="3">
        <v>61.12</v>
      </c>
      <c r="N393" s="3">
        <v>57.76</v>
      </c>
      <c r="O393" s="4">
        <v>0.48586810228802152</v>
      </c>
      <c r="P393" s="3">
        <v>155000</v>
      </c>
    </row>
    <row r="394" spans="1:16">
      <c r="A394" t="s">
        <v>446</v>
      </c>
      <c r="B394" s="2">
        <v>45744</v>
      </c>
      <c r="C394" t="s">
        <v>17</v>
      </c>
      <c r="D394" t="s">
        <v>80</v>
      </c>
      <c r="E394" t="s">
        <v>19</v>
      </c>
      <c r="F394" t="s">
        <v>50</v>
      </c>
      <c r="G394" t="s">
        <v>27</v>
      </c>
      <c r="H394" t="s">
        <v>44</v>
      </c>
      <c r="I394" s="5">
        <v>5</v>
      </c>
      <c r="J394" s="3">
        <v>342.3</v>
      </c>
      <c r="K394" s="3">
        <v>1711.5</v>
      </c>
      <c r="L394" s="3">
        <v>214.69</v>
      </c>
      <c r="M394" s="3">
        <v>1073.45</v>
      </c>
      <c r="N394" s="3">
        <v>638.04999999999995</v>
      </c>
      <c r="O394" s="4">
        <v>0.37280163599182004</v>
      </c>
      <c r="P394" s="3">
        <v>140000</v>
      </c>
    </row>
    <row r="395" spans="1:16">
      <c r="A395" t="s">
        <v>447</v>
      </c>
      <c r="B395" s="2">
        <v>45962</v>
      </c>
      <c r="C395" t="s">
        <v>17</v>
      </c>
      <c r="D395" t="s">
        <v>18</v>
      </c>
      <c r="E395" t="s">
        <v>19</v>
      </c>
      <c r="F395" t="s">
        <v>20</v>
      </c>
      <c r="G395" t="s">
        <v>21</v>
      </c>
      <c r="H395" t="s">
        <v>47</v>
      </c>
      <c r="I395" s="5">
        <v>7</v>
      </c>
      <c r="J395" s="3">
        <v>41.91</v>
      </c>
      <c r="K395" s="3">
        <v>293.37</v>
      </c>
      <c r="L395" s="3">
        <v>23.34</v>
      </c>
      <c r="M395" s="3">
        <v>163.38</v>
      </c>
      <c r="N395" s="3">
        <v>129.99</v>
      </c>
      <c r="O395" s="4">
        <v>0.44309234073013604</v>
      </c>
      <c r="P395" s="3">
        <v>140000</v>
      </c>
    </row>
    <row r="396" spans="1:16">
      <c r="A396" t="s">
        <v>448</v>
      </c>
      <c r="B396" s="2">
        <v>45787</v>
      </c>
      <c r="C396" t="s">
        <v>24</v>
      </c>
      <c r="D396" t="s">
        <v>30</v>
      </c>
      <c r="E396" t="s">
        <v>26</v>
      </c>
      <c r="F396" t="s">
        <v>50</v>
      </c>
      <c r="G396" t="s">
        <v>21</v>
      </c>
      <c r="H396" t="s">
        <v>31</v>
      </c>
      <c r="I396" s="5">
        <v>5</v>
      </c>
      <c r="J396" s="3">
        <v>11.91</v>
      </c>
      <c r="K396" s="3">
        <v>59.55</v>
      </c>
      <c r="L396" s="3">
        <v>5.82</v>
      </c>
      <c r="M396" s="3">
        <v>29.1</v>
      </c>
      <c r="N396" s="3">
        <v>30.45</v>
      </c>
      <c r="O396" s="4">
        <v>0.51133501259445846</v>
      </c>
      <c r="P396" s="3">
        <v>135000</v>
      </c>
    </row>
    <row r="397" spans="1:16">
      <c r="A397" t="s">
        <v>449</v>
      </c>
      <c r="B397" s="2">
        <v>45924</v>
      </c>
      <c r="C397" t="s">
        <v>40</v>
      </c>
      <c r="D397" t="s">
        <v>65</v>
      </c>
      <c r="E397" t="s">
        <v>26</v>
      </c>
      <c r="F397" t="s">
        <v>43</v>
      </c>
      <c r="G397" t="s">
        <v>27</v>
      </c>
      <c r="H397" t="s">
        <v>28</v>
      </c>
      <c r="I397" s="5">
        <v>2</v>
      </c>
      <c r="J397" s="3">
        <v>173.2</v>
      </c>
      <c r="K397" s="3">
        <v>346.4</v>
      </c>
      <c r="L397" s="3">
        <v>119.42</v>
      </c>
      <c r="M397" s="3">
        <v>238.84</v>
      </c>
      <c r="N397" s="3">
        <v>107.56</v>
      </c>
      <c r="O397" s="4">
        <v>0.31050808314087763</v>
      </c>
      <c r="P397" s="3">
        <v>165000</v>
      </c>
    </row>
    <row r="398" spans="1:16">
      <c r="A398" t="s">
        <v>450</v>
      </c>
      <c r="B398" s="2">
        <v>45912</v>
      </c>
      <c r="C398" t="s">
        <v>33</v>
      </c>
      <c r="D398" t="s">
        <v>68</v>
      </c>
      <c r="E398" t="s">
        <v>42</v>
      </c>
      <c r="F398" t="s">
        <v>43</v>
      </c>
      <c r="G398" t="s">
        <v>35</v>
      </c>
      <c r="H398" t="s">
        <v>58</v>
      </c>
      <c r="I398" s="5">
        <v>6</v>
      </c>
      <c r="J398" s="3">
        <v>1002.02</v>
      </c>
      <c r="K398" s="3">
        <v>6012.12</v>
      </c>
      <c r="L398" s="3">
        <v>712.47</v>
      </c>
      <c r="M398" s="3">
        <v>4274.82</v>
      </c>
      <c r="N398" s="3">
        <v>1737.3</v>
      </c>
      <c r="O398" s="4">
        <v>0.28896628809804198</v>
      </c>
      <c r="P398" s="3">
        <v>155000</v>
      </c>
    </row>
    <row r="399" spans="1:16">
      <c r="A399" t="s">
        <v>451</v>
      </c>
      <c r="B399" s="2">
        <v>45678</v>
      </c>
      <c r="C399" t="s">
        <v>24</v>
      </c>
      <c r="D399" t="s">
        <v>30</v>
      </c>
      <c r="E399" t="s">
        <v>19</v>
      </c>
      <c r="F399" t="s">
        <v>50</v>
      </c>
      <c r="G399" t="s">
        <v>35</v>
      </c>
      <c r="H399" t="s">
        <v>58</v>
      </c>
      <c r="I399" s="5">
        <v>1</v>
      </c>
      <c r="J399" s="3">
        <v>857.66</v>
      </c>
      <c r="K399" s="3">
        <v>857.66</v>
      </c>
      <c r="L399" s="3">
        <v>697.61</v>
      </c>
      <c r="M399" s="3">
        <v>697.61</v>
      </c>
      <c r="N399" s="3">
        <v>160.05000000000001</v>
      </c>
      <c r="O399" s="4">
        <v>0.18661241051232424</v>
      </c>
      <c r="P399" s="3">
        <v>135000</v>
      </c>
    </row>
    <row r="400" spans="1:16">
      <c r="A400" t="s">
        <v>452</v>
      </c>
      <c r="B400" s="2">
        <v>45714</v>
      </c>
      <c r="C400" t="s">
        <v>24</v>
      </c>
      <c r="D400" t="s">
        <v>30</v>
      </c>
      <c r="E400" t="s">
        <v>42</v>
      </c>
      <c r="F400" t="s">
        <v>50</v>
      </c>
      <c r="G400" t="s">
        <v>21</v>
      </c>
      <c r="H400" t="s">
        <v>47</v>
      </c>
      <c r="I400" s="5">
        <v>2</v>
      </c>
      <c r="J400" s="3">
        <v>46.16</v>
      </c>
      <c r="K400" s="3">
        <v>92.32</v>
      </c>
      <c r="L400" s="3">
        <v>24.59</v>
      </c>
      <c r="M400" s="3">
        <v>49.18</v>
      </c>
      <c r="N400" s="3">
        <v>43.14</v>
      </c>
      <c r="O400" s="4">
        <v>0.46728769497400352</v>
      </c>
      <c r="P400" s="3">
        <v>135000</v>
      </c>
    </row>
    <row r="401" spans="1:16">
      <c r="A401" t="s">
        <v>453</v>
      </c>
      <c r="B401" s="2">
        <v>45891</v>
      </c>
      <c r="C401" t="s">
        <v>40</v>
      </c>
      <c r="D401" t="s">
        <v>46</v>
      </c>
      <c r="E401" t="s">
        <v>19</v>
      </c>
      <c r="F401" t="s">
        <v>20</v>
      </c>
      <c r="G401" t="s">
        <v>21</v>
      </c>
      <c r="H401" t="s">
        <v>22</v>
      </c>
      <c r="I401" s="5">
        <v>1</v>
      </c>
      <c r="J401" s="3">
        <v>30.45</v>
      </c>
      <c r="K401" s="3">
        <v>30.45</v>
      </c>
      <c r="L401" s="3">
        <v>14.94</v>
      </c>
      <c r="M401" s="3">
        <v>14.94</v>
      </c>
      <c r="N401" s="3">
        <v>15.51</v>
      </c>
      <c r="O401" s="4">
        <v>0.50935960591133</v>
      </c>
      <c r="P401" s="3">
        <v>165000</v>
      </c>
    </row>
    <row r="402" spans="1:16">
      <c r="A402" t="s">
        <v>454</v>
      </c>
      <c r="B402" s="2">
        <v>46004</v>
      </c>
      <c r="C402" t="s">
        <v>40</v>
      </c>
      <c r="D402" t="s">
        <v>57</v>
      </c>
      <c r="E402" t="s">
        <v>19</v>
      </c>
      <c r="F402" t="s">
        <v>20</v>
      </c>
      <c r="G402" t="s">
        <v>21</v>
      </c>
      <c r="H402" t="s">
        <v>31</v>
      </c>
      <c r="I402" s="5">
        <v>1</v>
      </c>
      <c r="J402" s="3">
        <v>13.05</v>
      </c>
      <c r="K402" s="3">
        <v>13.05</v>
      </c>
      <c r="L402" s="3">
        <v>6.16</v>
      </c>
      <c r="M402" s="3">
        <v>6.16</v>
      </c>
      <c r="N402" s="3">
        <v>6.89</v>
      </c>
      <c r="O402" s="4">
        <v>0.5279693486590038</v>
      </c>
      <c r="P402" s="3">
        <v>165000</v>
      </c>
    </row>
    <row r="403" spans="1:16">
      <c r="A403" t="s">
        <v>455</v>
      </c>
      <c r="B403" s="2">
        <v>45745</v>
      </c>
      <c r="C403" t="s">
        <v>40</v>
      </c>
      <c r="D403" t="s">
        <v>46</v>
      </c>
      <c r="E403" t="s">
        <v>42</v>
      </c>
      <c r="F403" t="s">
        <v>43</v>
      </c>
      <c r="G403" t="s">
        <v>35</v>
      </c>
      <c r="H403" t="s">
        <v>63</v>
      </c>
      <c r="I403" s="5">
        <v>2</v>
      </c>
      <c r="J403" s="3">
        <v>255.31</v>
      </c>
      <c r="K403" s="3">
        <v>510.62</v>
      </c>
      <c r="L403" s="3">
        <v>178.97</v>
      </c>
      <c r="M403" s="3">
        <v>357.94</v>
      </c>
      <c r="N403" s="3">
        <v>152.68</v>
      </c>
      <c r="O403" s="4">
        <v>0.29900904782421373</v>
      </c>
      <c r="P403" s="3">
        <v>165000</v>
      </c>
    </row>
    <row r="404" spans="1:16">
      <c r="A404" t="s">
        <v>456</v>
      </c>
      <c r="B404" s="2">
        <v>45716</v>
      </c>
      <c r="C404" t="s">
        <v>24</v>
      </c>
      <c r="D404" t="s">
        <v>74</v>
      </c>
      <c r="E404" t="s">
        <v>42</v>
      </c>
      <c r="F404" t="s">
        <v>20</v>
      </c>
      <c r="G404" t="s">
        <v>27</v>
      </c>
      <c r="H404" t="s">
        <v>44</v>
      </c>
      <c r="I404" s="5">
        <v>8</v>
      </c>
      <c r="J404" s="3">
        <v>344.31</v>
      </c>
      <c r="K404" s="3">
        <v>2754.48</v>
      </c>
      <c r="L404" s="3">
        <v>215.23</v>
      </c>
      <c r="M404" s="3">
        <v>1721.84</v>
      </c>
      <c r="N404" s="3">
        <v>1032.6400000000001</v>
      </c>
      <c r="O404" s="4">
        <v>0.37489471697017224</v>
      </c>
      <c r="P404" s="3">
        <v>135000</v>
      </c>
    </row>
    <row r="405" spans="1:16">
      <c r="A405" t="s">
        <v>457</v>
      </c>
      <c r="B405" s="2">
        <v>45743</v>
      </c>
      <c r="C405" t="s">
        <v>17</v>
      </c>
      <c r="D405" t="s">
        <v>60</v>
      </c>
      <c r="E405" t="s">
        <v>19</v>
      </c>
      <c r="F405" t="s">
        <v>20</v>
      </c>
      <c r="G405" t="s">
        <v>21</v>
      </c>
      <c r="H405" t="s">
        <v>22</v>
      </c>
      <c r="I405" s="5">
        <v>2</v>
      </c>
      <c r="J405" s="3">
        <v>27.76</v>
      </c>
      <c r="K405" s="3">
        <v>55.52</v>
      </c>
      <c r="L405" s="3">
        <v>15.29</v>
      </c>
      <c r="M405" s="3">
        <v>30.58</v>
      </c>
      <c r="N405" s="3">
        <v>24.94</v>
      </c>
      <c r="O405" s="4">
        <v>0.44920749279538907</v>
      </c>
      <c r="P405" s="3">
        <v>140000</v>
      </c>
    </row>
    <row r="406" spans="1:16">
      <c r="A406" t="s">
        <v>458</v>
      </c>
      <c r="B406" s="2">
        <v>45949</v>
      </c>
      <c r="C406" t="s">
        <v>24</v>
      </c>
      <c r="D406" t="s">
        <v>30</v>
      </c>
      <c r="E406" t="s">
        <v>19</v>
      </c>
      <c r="F406" t="s">
        <v>50</v>
      </c>
      <c r="G406" t="s">
        <v>21</v>
      </c>
      <c r="H406" t="s">
        <v>31</v>
      </c>
      <c r="I406" s="5">
        <v>3</v>
      </c>
      <c r="J406" s="3">
        <v>12.08</v>
      </c>
      <c r="K406" s="3">
        <v>36.24</v>
      </c>
      <c r="L406" s="3">
        <v>6.05</v>
      </c>
      <c r="M406" s="3">
        <v>18.149999999999999</v>
      </c>
      <c r="N406" s="3">
        <v>18.09</v>
      </c>
      <c r="O406" s="4">
        <v>0.49917218543046354</v>
      </c>
      <c r="P406" s="3">
        <v>135000</v>
      </c>
    </row>
    <row r="407" spans="1:16">
      <c r="A407" t="s">
        <v>459</v>
      </c>
      <c r="B407" s="2">
        <v>45868</v>
      </c>
      <c r="C407" t="s">
        <v>24</v>
      </c>
      <c r="D407" t="s">
        <v>25</v>
      </c>
      <c r="E407" t="s">
        <v>26</v>
      </c>
      <c r="F407" t="s">
        <v>50</v>
      </c>
      <c r="G407" t="s">
        <v>21</v>
      </c>
      <c r="H407" t="s">
        <v>31</v>
      </c>
      <c r="I407" s="5">
        <v>4</v>
      </c>
      <c r="J407" s="3">
        <v>13.38</v>
      </c>
      <c r="K407" s="3">
        <v>53.52</v>
      </c>
      <c r="L407" s="3">
        <v>6.16</v>
      </c>
      <c r="M407" s="3">
        <v>24.64</v>
      </c>
      <c r="N407" s="3">
        <v>28.88</v>
      </c>
      <c r="O407" s="4">
        <v>0.5396113602391629</v>
      </c>
      <c r="P407" s="3">
        <v>135000</v>
      </c>
    </row>
    <row r="408" spans="1:16">
      <c r="A408" t="s">
        <v>460</v>
      </c>
      <c r="B408" s="2">
        <v>45831</v>
      </c>
      <c r="C408" t="s">
        <v>17</v>
      </c>
      <c r="D408" t="s">
        <v>38</v>
      </c>
      <c r="E408" t="s">
        <v>19</v>
      </c>
      <c r="F408" t="s">
        <v>20</v>
      </c>
      <c r="G408" t="s">
        <v>35</v>
      </c>
      <c r="H408" t="s">
        <v>36</v>
      </c>
      <c r="I408" s="5">
        <v>7</v>
      </c>
      <c r="J408" s="3">
        <v>32.64</v>
      </c>
      <c r="K408" s="3">
        <v>228.48</v>
      </c>
      <c r="L408" s="3">
        <v>18.77</v>
      </c>
      <c r="M408" s="3">
        <v>131.38999999999999</v>
      </c>
      <c r="N408" s="3">
        <v>97.09</v>
      </c>
      <c r="O408" s="4">
        <v>0.42493872549019612</v>
      </c>
      <c r="P408" s="3">
        <v>140000</v>
      </c>
    </row>
    <row r="409" spans="1:16">
      <c r="A409" t="s">
        <v>461</v>
      </c>
      <c r="B409" s="2">
        <v>45971</v>
      </c>
      <c r="C409" t="s">
        <v>17</v>
      </c>
      <c r="D409" t="s">
        <v>18</v>
      </c>
      <c r="E409" t="s">
        <v>19</v>
      </c>
      <c r="F409" t="s">
        <v>20</v>
      </c>
      <c r="G409" t="s">
        <v>27</v>
      </c>
      <c r="H409" t="s">
        <v>55</v>
      </c>
      <c r="I409" s="5">
        <v>8</v>
      </c>
      <c r="J409" s="3">
        <v>676.59</v>
      </c>
      <c r="K409" s="3">
        <v>5412.72</v>
      </c>
      <c r="L409" s="3">
        <v>416.02</v>
      </c>
      <c r="M409" s="3">
        <v>3328.16</v>
      </c>
      <c r="N409" s="3">
        <v>2084.56</v>
      </c>
      <c r="O409" s="4">
        <v>0.38512245229755093</v>
      </c>
      <c r="P409" s="3">
        <v>140000</v>
      </c>
    </row>
    <row r="410" spans="1:16">
      <c r="A410" t="s">
        <v>462</v>
      </c>
      <c r="B410" s="2">
        <v>45909</v>
      </c>
      <c r="C410" t="s">
        <v>40</v>
      </c>
      <c r="D410" t="s">
        <v>65</v>
      </c>
      <c r="E410" t="s">
        <v>26</v>
      </c>
      <c r="F410" t="s">
        <v>20</v>
      </c>
      <c r="G410" t="s">
        <v>27</v>
      </c>
      <c r="H410" t="s">
        <v>28</v>
      </c>
      <c r="I410" s="5">
        <v>4</v>
      </c>
      <c r="J410" s="3">
        <v>183.8</v>
      </c>
      <c r="K410" s="3">
        <v>735.2</v>
      </c>
      <c r="L410" s="3">
        <v>114.75</v>
      </c>
      <c r="M410" s="3">
        <v>459</v>
      </c>
      <c r="N410" s="3">
        <v>276.2</v>
      </c>
      <c r="O410" s="4">
        <v>0.37568008705114253</v>
      </c>
      <c r="P410" s="3">
        <v>165000</v>
      </c>
    </row>
    <row r="411" spans="1:16">
      <c r="A411" t="s">
        <v>463</v>
      </c>
      <c r="B411" s="2">
        <v>45778</v>
      </c>
      <c r="C411" t="s">
        <v>17</v>
      </c>
      <c r="D411" t="s">
        <v>38</v>
      </c>
      <c r="E411" t="s">
        <v>26</v>
      </c>
      <c r="F411" t="s">
        <v>50</v>
      </c>
      <c r="G411" t="s">
        <v>21</v>
      </c>
      <c r="H411" t="s">
        <v>47</v>
      </c>
      <c r="I411" s="5">
        <v>8</v>
      </c>
      <c r="J411" s="3">
        <v>41.93</v>
      </c>
      <c r="K411" s="3">
        <v>335.44</v>
      </c>
      <c r="L411" s="3">
        <v>23.32</v>
      </c>
      <c r="M411" s="3">
        <v>186.56</v>
      </c>
      <c r="N411" s="3">
        <v>148.88</v>
      </c>
      <c r="O411" s="4">
        <v>0.44383496303362746</v>
      </c>
      <c r="P411" s="3">
        <v>140000</v>
      </c>
    </row>
    <row r="412" spans="1:16">
      <c r="A412" t="s">
        <v>464</v>
      </c>
      <c r="B412" s="2">
        <v>45912</v>
      </c>
      <c r="C412" t="s">
        <v>17</v>
      </c>
      <c r="D412" t="s">
        <v>18</v>
      </c>
      <c r="E412" t="s">
        <v>26</v>
      </c>
      <c r="F412" t="s">
        <v>20</v>
      </c>
      <c r="G412" t="s">
        <v>27</v>
      </c>
      <c r="H412" t="s">
        <v>28</v>
      </c>
      <c r="I412" s="5">
        <v>1</v>
      </c>
      <c r="J412" s="3">
        <v>194.71</v>
      </c>
      <c r="K412" s="3">
        <v>194.71</v>
      </c>
      <c r="L412" s="3">
        <v>119.51</v>
      </c>
      <c r="M412" s="3">
        <v>119.51</v>
      </c>
      <c r="N412" s="3">
        <v>75.2</v>
      </c>
      <c r="O412" s="4">
        <v>0.38621539725745979</v>
      </c>
      <c r="P412" s="3">
        <v>140000</v>
      </c>
    </row>
    <row r="413" spans="1:16">
      <c r="A413" t="s">
        <v>465</v>
      </c>
      <c r="B413" s="2">
        <v>45974</v>
      </c>
      <c r="C413" t="s">
        <v>40</v>
      </c>
      <c r="D413" t="s">
        <v>65</v>
      </c>
      <c r="E413" t="s">
        <v>19</v>
      </c>
      <c r="F413" t="s">
        <v>50</v>
      </c>
      <c r="G413" t="s">
        <v>35</v>
      </c>
      <c r="H413" t="s">
        <v>36</v>
      </c>
      <c r="I413" s="5">
        <v>6</v>
      </c>
      <c r="J413" s="3">
        <v>37.85</v>
      </c>
      <c r="K413" s="3">
        <v>227.1</v>
      </c>
      <c r="L413" s="3">
        <v>18.75</v>
      </c>
      <c r="M413" s="3">
        <v>112.5</v>
      </c>
      <c r="N413" s="3">
        <v>114.6</v>
      </c>
      <c r="O413" s="4">
        <v>0.50462351387054161</v>
      </c>
      <c r="P413" s="3">
        <v>165000</v>
      </c>
    </row>
    <row r="414" spans="1:16">
      <c r="A414" t="s">
        <v>466</v>
      </c>
      <c r="B414" s="2">
        <v>45890</v>
      </c>
      <c r="C414" t="s">
        <v>40</v>
      </c>
      <c r="D414" t="s">
        <v>57</v>
      </c>
      <c r="E414" t="s">
        <v>19</v>
      </c>
      <c r="F414" t="s">
        <v>20</v>
      </c>
      <c r="G414" t="s">
        <v>27</v>
      </c>
      <c r="H414" t="s">
        <v>55</v>
      </c>
      <c r="I414" s="5">
        <v>2</v>
      </c>
      <c r="J414" s="3">
        <v>571.29</v>
      </c>
      <c r="K414" s="3">
        <v>1142.58</v>
      </c>
      <c r="L414" s="3">
        <v>441.13</v>
      </c>
      <c r="M414" s="3">
        <v>882.26</v>
      </c>
      <c r="N414" s="3">
        <v>260.32</v>
      </c>
      <c r="O414" s="4">
        <v>0.22783525004813668</v>
      </c>
      <c r="P414" s="3">
        <v>165000</v>
      </c>
    </row>
    <row r="415" spans="1:16">
      <c r="A415" t="s">
        <v>467</v>
      </c>
      <c r="B415" s="2">
        <v>45659</v>
      </c>
      <c r="C415" t="s">
        <v>40</v>
      </c>
      <c r="D415" t="s">
        <v>46</v>
      </c>
      <c r="E415" t="s">
        <v>42</v>
      </c>
      <c r="F415" t="s">
        <v>43</v>
      </c>
      <c r="G415" t="s">
        <v>35</v>
      </c>
      <c r="H415" t="s">
        <v>63</v>
      </c>
      <c r="I415" s="5">
        <v>6</v>
      </c>
      <c r="J415" s="3">
        <v>274.16000000000003</v>
      </c>
      <c r="K415" s="3">
        <v>1644.96</v>
      </c>
      <c r="L415" s="3">
        <v>173.62</v>
      </c>
      <c r="M415" s="3">
        <v>1041.72</v>
      </c>
      <c r="N415" s="3">
        <v>603.24</v>
      </c>
      <c r="O415" s="4">
        <v>0.36672016340822877</v>
      </c>
      <c r="P415" s="3">
        <v>165000</v>
      </c>
    </row>
    <row r="416" spans="1:16">
      <c r="A416" t="s">
        <v>468</v>
      </c>
      <c r="B416" s="2">
        <v>45742</v>
      </c>
      <c r="C416" t="s">
        <v>24</v>
      </c>
      <c r="D416" t="s">
        <v>30</v>
      </c>
      <c r="E416" t="s">
        <v>42</v>
      </c>
      <c r="F416" t="s">
        <v>50</v>
      </c>
      <c r="G416" t="s">
        <v>27</v>
      </c>
      <c r="H416" t="s">
        <v>44</v>
      </c>
      <c r="I416" s="5">
        <v>2</v>
      </c>
      <c r="J416" s="3">
        <v>305.89999999999998</v>
      </c>
      <c r="K416" s="3">
        <v>611.79999999999995</v>
      </c>
      <c r="L416" s="3">
        <v>205.71</v>
      </c>
      <c r="M416" s="3">
        <v>411.42</v>
      </c>
      <c r="N416" s="3">
        <v>200.38</v>
      </c>
      <c r="O416" s="4">
        <v>0.32752533507682252</v>
      </c>
      <c r="P416" s="3">
        <v>135000</v>
      </c>
    </row>
    <row r="417" spans="1:16">
      <c r="A417" t="s">
        <v>469</v>
      </c>
      <c r="B417" s="2">
        <v>45719</v>
      </c>
      <c r="C417" t="s">
        <v>24</v>
      </c>
      <c r="D417" t="s">
        <v>30</v>
      </c>
      <c r="E417" t="s">
        <v>19</v>
      </c>
      <c r="F417" t="s">
        <v>50</v>
      </c>
      <c r="G417" t="s">
        <v>35</v>
      </c>
      <c r="H417" t="s">
        <v>36</v>
      </c>
      <c r="I417" s="5">
        <v>2</v>
      </c>
      <c r="J417" s="3">
        <v>37.33</v>
      </c>
      <c r="K417" s="3">
        <v>74.66</v>
      </c>
      <c r="L417" s="3">
        <v>17.36</v>
      </c>
      <c r="M417" s="3">
        <v>34.72</v>
      </c>
      <c r="N417" s="3">
        <v>39.94</v>
      </c>
      <c r="O417" s="4">
        <v>0.53495847843557465</v>
      </c>
      <c r="P417" s="3">
        <v>135000</v>
      </c>
    </row>
    <row r="418" spans="1:16">
      <c r="A418" t="s">
        <v>470</v>
      </c>
      <c r="B418" s="2">
        <v>45982</v>
      </c>
      <c r="C418" t="s">
        <v>17</v>
      </c>
      <c r="D418" t="s">
        <v>38</v>
      </c>
      <c r="E418" t="s">
        <v>19</v>
      </c>
      <c r="F418" t="s">
        <v>50</v>
      </c>
      <c r="G418" t="s">
        <v>27</v>
      </c>
      <c r="H418" t="s">
        <v>28</v>
      </c>
      <c r="I418" s="5">
        <v>3</v>
      </c>
      <c r="J418" s="3">
        <v>200.17</v>
      </c>
      <c r="K418" s="3">
        <v>600.51</v>
      </c>
      <c r="L418" s="3">
        <v>110.45</v>
      </c>
      <c r="M418" s="3">
        <v>331.35</v>
      </c>
      <c r="N418" s="3">
        <v>269.16000000000003</v>
      </c>
      <c r="O418" s="4">
        <v>0.44821901383823753</v>
      </c>
      <c r="P418" s="3">
        <v>140000</v>
      </c>
    </row>
    <row r="419" spans="1:16">
      <c r="A419" t="s">
        <v>471</v>
      </c>
      <c r="B419" s="2">
        <v>45682</v>
      </c>
      <c r="C419" t="s">
        <v>24</v>
      </c>
      <c r="D419" t="s">
        <v>74</v>
      </c>
      <c r="E419" t="s">
        <v>42</v>
      </c>
      <c r="F419" t="s">
        <v>50</v>
      </c>
      <c r="G419" t="s">
        <v>21</v>
      </c>
      <c r="H419" t="s">
        <v>22</v>
      </c>
      <c r="I419" s="5">
        <v>3</v>
      </c>
      <c r="J419" s="3">
        <v>29.7</v>
      </c>
      <c r="K419" s="3">
        <v>89.1</v>
      </c>
      <c r="L419" s="3">
        <v>14.59</v>
      </c>
      <c r="M419" s="3">
        <v>43.77</v>
      </c>
      <c r="N419" s="3">
        <v>45.33</v>
      </c>
      <c r="O419" s="4">
        <v>0.50875420875420874</v>
      </c>
      <c r="P419" s="3">
        <v>135000</v>
      </c>
    </row>
    <row r="420" spans="1:16">
      <c r="A420" t="s">
        <v>472</v>
      </c>
      <c r="B420" s="2">
        <v>45856</v>
      </c>
      <c r="C420" t="s">
        <v>40</v>
      </c>
      <c r="D420" t="s">
        <v>57</v>
      </c>
      <c r="E420" t="s">
        <v>26</v>
      </c>
      <c r="F420" t="s">
        <v>50</v>
      </c>
      <c r="G420" t="s">
        <v>35</v>
      </c>
      <c r="H420" t="s">
        <v>58</v>
      </c>
      <c r="I420" s="5">
        <v>5</v>
      </c>
      <c r="J420" s="3">
        <v>938.15</v>
      </c>
      <c r="K420" s="3">
        <v>4690.75</v>
      </c>
      <c r="L420" s="3">
        <v>715.89</v>
      </c>
      <c r="M420" s="3">
        <v>3579.45</v>
      </c>
      <c r="N420" s="3">
        <v>1111.3</v>
      </c>
      <c r="O420" s="4">
        <v>0.2369130736023024</v>
      </c>
      <c r="P420" s="3">
        <v>165000</v>
      </c>
    </row>
    <row r="421" spans="1:16">
      <c r="A421" t="s">
        <v>473</v>
      </c>
      <c r="B421" s="2">
        <v>45808</v>
      </c>
      <c r="C421" t="s">
        <v>24</v>
      </c>
      <c r="D421" t="s">
        <v>30</v>
      </c>
      <c r="E421" t="s">
        <v>26</v>
      </c>
      <c r="F421" t="s">
        <v>50</v>
      </c>
      <c r="G421" t="s">
        <v>27</v>
      </c>
      <c r="H421" t="s">
        <v>28</v>
      </c>
      <c r="I421" s="5">
        <v>5</v>
      </c>
      <c r="J421" s="3">
        <v>195.39</v>
      </c>
      <c r="K421" s="3">
        <v>976.95</v>
      </c>
      <c r="L421" s="3">
        <v>116.7</v>
      </c>
      <c r="M421" s="3">
        <v>583.5</v>
      </c>
      <c r="N421" s="3">
        <v>393.45</v>
      </c>
      <c r="O421" s="4">
        <v>0.4027329955473668</v>
      </c>
      <c r="P421" s="3">
        <v>135000</v>
      </c>
    </row>
    <row r="422" spans="1:16">
      <c r="A422" t="s">
        <v>474</v>
      </c>
      <c r="B422" s="2">
        <v>45818</v>
      </c>
      <c r="C422" t="s">
        <v>33</v>
      </c>
      <c r="D422" t="s">
        <v>68</v>
      </c>
      <c r="E422" t="s">
        <v>26</v>
      </c>
      <c r="F422" t="s">
        <v>50</v>
      </c>
      <c r="G422" t="s">
        <v>35</v>
      </c>
      <c r="H422" t="s">
        <v>36</v>
      </c>
      <c r="I422" s="5">
        <v>3</v>
      </c>
      <c r="J422" s="3">
        <v>39.06</v>
      </c>
      <c r="K422" s="3">
        <v>117.18</v>
      </c>
      <c r="L422" s="3">
        <v>18.45</v>
      </c>
      <c r="M422" s="3">
        <v>55.35</v>
      </c>
      <c r="N422" s="3">
        <v>61.83</v>
      </c>
      <c r="O422" s="4">
        <v>0.52764976958525345</v>
      </c>
      <c r="P422" s="3">
        <v>155000</v>
      </c>
    </row>
    <row r="423" spans="1:16">
      <c r="A423" t="s">
        <v>475</v>
      </c>
      <c r="B423" s="2">
        <v>45749</v>
      </c>
      <c r="C423" t="s">
        <v>40</v>
      </c>
      <c r="D423" t="s">
        <v>41</v>
      </c>
      <c r="E423" t="s">
        <v>42</v>
      </c>
      <c r="F423" t="s">
        <v>50</v>
      </c>
      <c r="G423" t="s">
        <v>27</v>
      </c>
      <c r="H423" t="s">
        <v>44</v>
      </c>
      <c r="I423" s="5">
        <v>5</v>
      </c>
      <c r="J423" s="3">
        <v>349.77</v>
      </c>
      <c r="K423" s="3">
        <v>1748.85</v>
      </c>
      <c r="L423" s="3">
        <v>210.47</v>
      </c>
      <c r="M423" s="3">
        <v>1052.3499999999999</v>
      </c>
      <c r="N423" s="3">
        <v>696.5</v>
      </c>
      <c r="O423" s="4">
        <v>0.39826171484118139</v>
      </c>
      <c r="P423" s="3">
        <v>165000</v>
      </c>
    </row>
    <row r="424" spans="1:16">
      <c r="A424" t="s">
        <v>476</v>
      </c>
      <c r="B424" s="2">
        <v>45664</v>
      </c>
      <c r="C424" t="s">
        <v>17</v>
      </c>
      <c r="D424" t="s">
        <v>18</v>
      </c>
      <c r="E424" t="s">
        <v>26</v>
      </c>
      <c r="F424" t="s">
        <v>20</v>
      </c>
      <c r="G424" t="s">
        <v>21</v>
      </c>
      <c r="H424" t="s">
        <v>31</v>
      </c>
      <c r="I424" s="5">
        <v>4</v>
      </c>
      <c r="J424" s="3">
        <v>11.5</v>
      </c>
      <c r="K424" s="3">
        <v>46</v>
      </c>
      <c r="L424" s="3">
        <v>6.23</v>
      </c>
      <c r="M424" s="3">
        <v>24.92</v>
      </c>
      <c r="N424" s="3">
        <v>21.08</v>
      </c>
      <c r="O424" s="4">
        <v>0.45826086956521733</v>
      </c>
      <c r="P424" s="3">
        <v>140000</v>
      </c>
    </row>
    <row r="425" spans="1:16">
      <c r="A425" t="s">
        <v>477</v>
      </c>
      <c r="B425" s="2">
        <v>45804</v>
      </c>
      <c r="C425" t="s">
        <v>40</v>
      </c>
      <c r="D425" t="s">
        <v>65</v>
      </c>
      <c r="E425" t="s">
        <v>42</v>
      </c>
      <c r="F425" t="s">
        <v>50</v>
      </c>
      <c r="G425" t="s">
        <v>35</v>
      </c>
      <c r="H425" t="s">
        <v>63</v>
      </c>
      <c r="I425" s="5">
        <v>4</v>
      </c>
      <c r="J425" s="3">
        <v>277.11</v>
      </c>
      <c r="K425" s="3">
        <v>1108.44</v>
      </c>
      <c r="L425" s="3">
        <v>173.38</v>
      </c>
      <c r="M425" s="3">
        <v>693.52</v>
      </c>
      <c r="N425" s="3">
        <v>414.92</v>
      </c>
      <c r="O425" s="4">
        <v>0.37432788423369778</v>
      </c>
      <c r="P425" s="3">
        <v>165000</v>
      </c>
    </row>
    <row r="426" spans="1:16">
      <c r="A426" t="s">
        <v>478</v>
      </c>
      <c r="B426" s="2">
        <v>45889</v>
      </c>
      <c r="C426" t="s">
        <v>17</v>
      </c>
      <c r="D426" t="s">
        <v>60</v>
      </c>
      <c r="E426" t="s">
        <v>19</v>
      </c>
      <c r="F426" t="s">
        <v>50</v>
      </c>
      <c r="G426" t="s">
        <v>35</v>
      </c>
      <c r="H426" t="s">
        <v>58</v>
      </c>
      <c r="I426" s="5">
        <v>5</v>
      </c>
      <c r="J426" s="3">
        <v>999.82</v>
      </c>
      <c r="K426" s="3">
        <v>4999.1000000000004</v>
      </c>
      <c r="L426" s="3">
        <v>694.58</v>
      </c>
      <c r="M426" s="3">
        <v>3472.9</v>
      </c>
      <c r="N426" s="3">
        <v>1526.2</v>
      </c>
      <c r="O426" s="4">
        <v>0.30529495309155646</v>
      </c>
      <c r="P426" s="3">
        <v>140000</v>
      </c>
    </row>
    <row r="427" spans="1:16">
      <c r="A427" t="s">
        <v>479</v>
      </c>
      <c r="B427" s="2">
        <v>45853</v>
      </c>
      <c r="C427" t="s">
        <v>24</v>
      </c>
      <c r="D427" t="s">
        <v>74</v>
      </c>
      <c r="E427" t="s">
        <v>42</v>
      </c>
      <c r="F427" t="s">
        <v>43</v>
      </c>
      <c r="G427" t="s">
        <v>35</v>
      </c>
      <c r="H427" t="s">
        <v>36</v>
      </c>
      <c r="I427" s="5">
        <v>1</v>
      </c>
      <c r="J427" s="3">
        <v>31.6</v>
      </c>
      <c r="K427" s="3">
        <v>31.6</v>
      </c>
      <c r="L427" s="3">
        <v>17.73</v>
      </c>
      <c r="M427" s="3">
        <v>17.73</v>
      </c>
      <c r="N427" s="3">
        <v>13.87</v>
      </c>
      <c r="O427" s="4">
        <v>0.43892405063291134</v>
      </c>
      <c r="P427" s="3">
        <v>135000</v>
      </c>
    </row>
    <row r="428" spans="1:16">
      <c r="A428" t="s">
        <v>480</v>
      </c>
      <c r="B428" s="2">
        <v>45975</v>
      </c>
      <c r="C428" t="s">
        <v>24</v>
      </c>
      <c r="D428" t="s">
        <v>30</v>
      </c>
      <c r="E428" t="s">
        <v>42</v>
      </c>
      <c r="F428" t="s">
        <v>50</v>
      </c>
      <c r="G428" t="s">
        <v>35</v>
      </c>
      <c r="H428" t="s">
        <v>36</v>
      </c>
      <c r="I428" s="5">
        <v>4</v>
      </c>
      <c r="J428" s="3">
        <v>37.479999999999997</v>
      </c>
      <c r="K428" s="3">
        <v>149.91999999999999</v>
      </c>
      <c r="L428" s="3">
        <v>19.02</v>
      </c>
      <c r="M428" s="3">
        <v>76.08</v>
      </c>
      <c r="N428" s="3">
        <v>73.84</v>
      </c>
      <c r="O428" s="4">
        <v>0.49252934898612599</v>
      </c>
      <c r="P428" s="3">
        <v>135000</v>
      </c>
    </row>
    <row r="429" spans="1:16">
      <c r="A429" t="s">
        <v>481</v>
      </c>
      <c r="B429" s="2">
        <v>45808</v>
      </c>
      <c r="C429" t="s">
        <v>24</v>
      </c>
      <c r="D429" t="s">
        <v>30</v>
      </c>
      <c r="E429" t="s">
        <v>42</v>
      </c>
      <c r="F429" t="s">
        <v>20</v>
      </c>
      <c r="G429" t="s">
        <v>21</v>
      </c>
      <c r="H429" t="s">
        <v>22</v>
      </c>
      <c r="I429" s="5">
        <v>2</v>
      </c>
      <c r="J429" s="3">
        <v>27.52</v>
      </c>
      <c r="K429" s="3">
        <v>55.04</v>
      </c>
      <c r="L429" s="3">
        <v>15.04</v>
      </c>
      <c r="M429" s="3">
        <v>30.08</v>
      </c>
      <c r="N429" s="3">
        <v>24.96</v>
      </c>
      <c r="O429" s="4">
        <v>0.45348837209302328</v>
      </c>
      <c r="P429" s="3">
        <v>135000</v>
      </c>
    </row>
    <row r="430" spans="1:16">
      <c r="A430" t="s">
        <v>482</v>
      </c>
      <c r="B430" s="2">
        <v>45942</v>
      </c>
      <c r="C430" t="s">
        <v>40</v>
      </c>
      <c r="D430" t="s">
        <v>65</v>
      </c>
      <c r="E430" t="s">
        <v>26</v>
      </c>
      <c r="F430" t="s">
        <v>43</v>
      </c>
      <c r="G430" t="s">
        <v>21</v>
      </c>
      <c r="H430" t="s">
        <v>31</v>
      </c>
      <c r="I430" s="5">
        <v>6</v>
      </c>
      <c r="J430" s="3">
        <v>12.03</v>
      </c>
      <c r="K430" s="3">
        <v>72.180000000000007</v>
      </c>
      <c r="L430" s="3">
        <v>6.32</v>
      </c>
      <c r="M430" s="3">
        <v>37.92</v>
      </c>
      <c r="N430" s="3">
        <v>34.26</v>
      </c>
      <c r="O430" s="4">
        <v>0.47464671654197832</v>
      </c>
      <c r="P430" s="3">
        <v>165000</v>
      </c>
    </row>
    <row r="431" spans="1:16">
      <c r="A431" t="s">
        <v>483</v>
      </c>
      <c r="B431" s="2">
        <v>45678</v>
      </c>
      <c r="C431" t="s">
        <v>33</v>
      </c>
      <c r="D431" t="s">
        <v>34</v>
      </c>
      <c r="E431" t="s">
        <v>19</v>
      </c>
      <c r="F431" t="s">
        <v>50</v>
      </c>
      <c r="G431" t="s">
        <v>35</v>
      </c>
      <c r="H431" t="s">
        <v>63</v>
      </c>
      <c r="I431" s="5">
        <v>8</v>
      </c>
      <c r="J431" s="3">
        <v>279.18</v>
      </c>
      <c r="K431" s="3">
        <v>2233.44</v>
      </c>
      <c r="L431" s="3">
        <v>182.7</v>
      </c>
      <c r="M431" s="3">
        <v>1461.6</v>
      </c>
      <c r="N431" s="3">
        <v>771.84</v>
      </c>
      <c r="O431" s="4">
        <v>0.34558349451966475</v>
      </c>
      <c r="P431" s="3">
        <v>155000</v>
      </c>
    </row>
    <row r="432" spans="1:16">
      <c r="A432" t="s">
        <v>484</v>
      </c>
      <c r="B432" s="2">
        <v>45695</v>
      </c>
      <c r="C432" t="s">
        <v>40</v>
      </c>
      <c r="D432" t="s">
        <v>65</v>
      </c>
      <c r="E432" t="s">
        <v>42</v>
      </c>
      <c r="F432" t="s">
        <v>50</v>
      </c>
      <c r="G432" t="s">
        <v>27</v>
      </c>
      <c r="H432" t="s">
        <v>28</v>
      </c>
      <c r="I432" s="5">
        <v>3</v>
      </c>
      <c r="J432" s="3">
        <v>178.47</v>
      </c>
      <c r="K432" s="3">
        <v>535.41</v>
      </c>
      <c r="L432" s="3">
        <v>116.58</v>
      </c>
      <c r="M432" s="3">
        <v>349.74</v>
      </c>
      <c r="N432" s="3">
        <v>185.67</v>
      </c>
      <c r="O432" s="4">
        <v>0.34678097159186416</v>
      </c>
      <c r="P432" s="3">
        <v>165000</v>
      </c>
    </row>
    <row r="433" spans="1:16">
      <c r="A433" t="s">
        <v>485</v>
      </c>
      <c r="B433" s="2">
        <v>45705</v>
      </c>
      <c r="C433" t="s">
        <v>40</v>
      </c>
      <c r="D433" t="s">
        <v>65</v>
      </c>
      <c r="E433" t="s">
        <v>42</v>
      </c>
      <c r="F433" t="s">
        <v>50</v>
      </c>
      <c r="G433" t="s">
        <v>35</v>
      </c>
      <c r="H433" t="s">
        <v>36</v>
      </c>
      <c r="I433" s="5">
        <v>6</v>
      </c>
      <c r="J433" s="3">
        <v>33.76</v>
      </c>
      <c r="K433" s="3">
        <v>202.56</v>
      </c>
      <c r="L433" s="3">
        <v>18.989999999999998</v>
      </c>
      <c r="M433" s="3">
        <v>113.94</v>
      </c>
      <c r="N433" s="3">
        <v>88.62</v>
      </c>
      <c r="O433" s="4">
        <v>0.4375</v>
      </c>
      <c r="P433" s="3">
        <v>165000</v>
      </c>
    </row>
    <row r="434" spans="1:16">
      <c r="A434" t="s">
        <v>486</v>
      </c>
      <c r="B434" s="2">
        <v>45974</v>
      </c>
      <c r="C434" t="s">
        <v>24</v>
      </c>
      <c r="D434" t="s">
        <v>25</v>
      </c>
      <c r="E434" t="s">
        <v>26</v>
      </c>
      <c r="F434" t="s">
        <v>20</v>
      </c>
      <c r="G434" t="s">
        <v>35</v>
      </c>
      <c r="H434" t="s">
        <v>58</v>
      </c>
      <c r="I434" s="5">
        <v>4</v>
      </c>
      <c r="J434" s="3">
        <v>1055.4100000000001</v>
      </c>
      <c r="K434" s="3">
        <v>4221.6400000000003</v>
      </c>
      <c r="L434" s="3">
        <v>740.34</v>
      </c>
      <c r="M434" s="3">
        <v>2961.36</v>
      </c>
      <c r="N434" s="3">
        <v>1260.28</v>
      </c>
      <c r="O434" s="4">
        <v>0.29852853393467937</v>
      </c>
      <c r="P434" s="3">
        <v>135000</v>
      </c>
    </row>
    <row r="435" spans="1:16">
      <c r="A435" t="s">
        <v>487</v>
      </c>
      <c r="B435" s="2">
        <v>45822</v>
      </c>
      <c r="C435" t="s">
        <v>24</v>
      </c>
      <c r="D435" t="s">
        <v>25</v>
      </c>
      <c r="E435" t="s">
        <v>26</v>
      </c>
      <c r="F435" t="s">
        <v>50</v>
      </c>
      <c r="G435" t="s">
        <v>35</v>
      </c>
      <c r="H435" t="s">
        <v>63</v>
      </c>
      <c r="I435" s="5">
        <v>1</v>
      </c>
      <c r="J435" s="3">
        <v>286.13</v>
      </c>
      <c r="K435" s="3">
        <v>286.13</v>
      </c>
      <c r="L435" s="3">
        <v>187.6</v>
      </c>
      <c r="M435" s="3">
        <v>187.6</v>
      </c>
      <c r="N435" s="3">
        <v>98.53</v>
      </c>
      <c r="O435" s="4">
        <v>0.34435396498095272</v>
      </c>
      <c r="P435" s="3">
        <v>135000</v>
      </c>
    </row>
    <row r="436" spans="1:16">
      <c r="A436" t="s">
        <v>488</v>
      </c>
      <c r="B436" s="2">
        <v>45849</v>
      </c>
      <c r="C436" t="s">
        <v>24</v>
      </c>
      <c r="D436" t="s">
        <v>74</v>
      </c>
      <c r="E436" t="s">
        <v>26</v>
      </c>
      <c r="F436" t="s">
        <v>43</v>
      </c>
      <c r="G436" t="s">
        <v>35</v>
      </c>
      <c r="H436" t="s">
        <v>58</v>
      </c>
      <c r="I436" s="5">
        <v>6</v>
      </c>
      <c r="J436" s="3">
        <v>962.4</v>
      </c>
      <c r="K436" s="3">
        <v>5774.4</v>
      </c>
      <c r="L436" s="3">
        <v>759.47</v>
      </c>
      <c r="M436" s="3">
        <v>4556.82</v>
      </c>
      <c r="N436" s="3">
        <v>1217.58</v>
      </c>
      <c r="O436" s="4">
        <v>0.21085827098919369</v>
      </c>
      <c r="P436" s="3">
        <v>135000</v>
      </c>
    </row>
    <row r="437" spans="1:16">
      <c r="A437" t="s">
        <v>489</v>
      </c>
      <c r="B437" s="2">
        <v>45743</v>
      </c>
      <c r="C437" t="s">
        <v>17</v>
      </c>
      <c r="D437" t="s">
        <v>18</v>
      </c>
      <c r="E437" t="s">
        <v>26</v>
      </c>
      <c r="F437" t="s">
        <v>50</v>
      </c>
      <c r="G437" t="s">
        <v>35</v>
      </c>
      <c r="H437" t="s">
        <v>58</v>
      </c>
      <c r="I437" s="5">
        <v>7</v>
      </c>
      <c r="J437" s="3">
        <v>1029.6500000000001</v>
      </c>
      <c r="K437" s="3">
        <v>7207.55</v>
      </c>
      <c r="L437" s="3">
        <v>706</v>
      </c>
      <c r="M437" s="3">
        <v>4942</v>
      </c>
      <c r="N437" s="3">
        <v>2265.5500000000002</v>
      </c>
      <c r="O437" s="4">
        <v>0.31433011217403972</v>
      </c>
      <c r="P437" s="3">
        <v>140000</v>
      </c>
    </row>
    <row r="438" spans="1:16">
      <c r="A438" t="s">
        <v>490</v>
      </c>
      <c r="B438" s="2">
        <v>46017</v>
      </c>
      <c r="C438" t="s">
        <v>24</v>
      </c>
      <c r="D438" t="s">
        <v>25</v>
      </c>
      <c r="E438" t="s">
        <v>19</v>
      </c>
      <c r="F438" t="s">
        <v>20</v>
      </c>
      <c r="G438" t="s">
        <v>27</v>
      </c>
      <c r="H438" t="s">
        <v>55</v>
      </c>
      <c r="I438" s="5">
        <v>6</v>
      </c>
      <c r="J438" s="3">
        <v>563.16999999999996</v>
      </c>
      <c r="K438" s="3">
        <v>3379.02</v>
      </c>
      <c r="L438" s="3">
        <v>415.95</v>
      </c>
      <c r="M438" s="3">
        <v>2495.6999999999998</v>
      </c>
      <c r="N438" s="3">
        <v>883.32</v>
      </c>
      <c r="O438" s="4">
        <v>0.26141307242928424</v>
      </c>
      <c r="P438" s="3">
        <v>135000</v>
      </c>
    </row>
    <row r="439" spans="1:16">
      <c r="A439" t="s">
        <v>491</v>
      </c>
      <c r="B439" s="2">
        <v>45749</v>
      </c>
      <c r="C439" t="s">
        <v>40</v>
      </c>
      <c r="D439" t="s">
        <v>41</v>
      </c>
      <c r="E439" t="s">
        <v>19</v>
      </c>
      <c r="F439" t="s">
        <v>20</v>
      </c>
      <c r="G439" t="s">
        <v>35</v>
      </c>
      <c r="H439" t="s">
        <v>63</v>
      </c>
      <c r="I439" s="5">
        <v>7</v>
      </c>
      <c r="J439" s="3">
        <v>256.2</v>
      </c>
      <c r="K439" s="3">
        <v>1793.4</v>
      </c>
      <c r="L439" s="3">
        <v>184.14</v>
      </c>
      <c r="M439" s="3">
        <v>1288.98</v>
      </c>
      <c r="N439" s="3">
        <v>504.42</v>
      </c>
      <c r="O439" s="4">
        <v>0.28126463700234189</v>
      </c>
      <c r="P439" s="3">
        <v>165000</v>
      </c>
    </row>
    <row r="440" spans="1:16">
      <c r="A440" t="s">
        <v>492</v>
      </c>
      <c r="B440" s="2">
        <v>45879</v>
      </c>
      <c r="C440" t="s">
        <v>40</v>
      </c>
      <c r="D440" t="s">
        <v>41</v>
      </c>
      <c r="E440" t="s">
        <v>26</v>
      </c>
      <c r="F440" t="s">
        <v>20</v>
      </c>
      <c r="G440" t="s">
        <v>21</v>
      </c>
      <c r="H440" t="s">
        <v>31</v>
      </c>
      <c r="I440" s="5">
        <v>2</v>
      </c>
      <c r="J440" s="3">
        <v>12.8</v>
      </c>
      <c r="K440" s="3">
        <v>25.6</v>
      </c>
      <c r="L440" s="3">
        <v>6.11</v>
      </c>
      <c r="M440" s="3">
        <v>12.22</v>
      </c>
      <c r="N440" s="3">
        <v>13.38</v>
      </c>
      <c r="O440" s="4">
        <v>0.52265625000000004</v>
      </c>
      <c r="P440" s="3">
        <v>165000</v>
      </c>
    </row>
    <row r="441" spans="1:16">
      <c r="A441" t="s">
        <v>493</v>
      </c>
      <c r="B441" s="2">
        <v>46016</v>
      </c>
      <c r="C441" t="s">
        <v>17</v>
      </c>
      <c r="D441" t="s">
        <v>80</v>
      </c>
      <c r="E441" t="s">
        <v>42</v>
      </c>
      <c r="F441" t="s">
        <v>20</v>
      </c>
      <c r="G441" t="s">
        <v>35</v>
      </c>
      <c r="H441" t="s">
        <v>63</v>
      </c>
      <c r="I441" s="5">
        <v>2</v>
      </c>
      <c r="J441" s="3">
        <v>250.1</v>
      </c>
      <c r="K441" s="3">
        <v>500.2</v>
      </c>
      <c r="L441" s="3">
        <v>189.48</v>
      </c>
      <c r="M441" s="3">
        <v>378.96</v>
      </c>
      <c r="N441" s="3">
        <v>121.24</v>
      </c>
      <c r="O441" s="4">
        <v>0.24238304678128747</v>
      </c>
      <c r="P441" s="3">
        <v>140000</v>
      </c>
    </row>
    <row r="442" spans="1:16">
      <c r="A442" t="s">
        <v>494</v>
      </c>
      <c r="B442" s="2">
        <v>45853</v>
      </c>
      <c r="C442" t="s">
        <v>24</v>
      </c>
      <c r="D442" t="s">
        <v>25</v>
      </c>
      <c r="E442" t="s">
        <v>19</v>
      </c>
      <c r="F442" t="s">
        <v>50</v>
      </c>
      <c r="G442" t="s">
        <v>21</v>
      </c>
      <c r="H442" t="s">
        <v>22</v>
      </c>
      <c r="I442" s="5">
        <v>7</v>
      </c>
      <c r="J442" s="3">
        <v>30.11</v>
      </c>
      <c r="K442" s="3">
        <v>210.77</v>
      </c>
      <c r="L442" s="3">
        <v>15.67</v>
      </c>
      <c r="M442" s="3">
        <v>109.69</v>
      </c>
      <c r="N442" s="3">
        <v>101.08</v>
      </c>
      <c r="O442" s="4">
        <v>0.4795748920624377</v>
      </c>
      <c r="P442" s="3">
        <v>135000</v>
      </c>
    </row>
    <row r="443" spans="1:16">
      <c r="A443" t="s">
        <v>495</v>
      </c>
      <c r="B443" s="2">
        <v>45809</v>
      </c>
      <c r="C443" t="s">
        <v>33</v>
      </c>
      <c r="D443" t="s">
        <v>34</v>
      </c>
      <c r="E443" t="s">
        <v>19</v>
      </c>
      <c r="F443" t="s">
        <v>43</v>
      </c>
      <c r="G443" t="s">
        <v>35</v>
      </c>
      <c r="H443" t="s">
        <v>36</v>
      </c>
      <c r="I443" s="5">
        <v>1</v>
      </c>
      <c r="J443" s="3">
        <v>35.76</v>
      </c>
      <c r="K443" s="3">
        <v>35.76</v>
      </c>
      <c r="L443" s="3">
        <v>18.28</v>
      </c>
      <c r="M443" s="3">
        <v>18.28</v>
      </c>
      <c r="N443" s="3">
        <v>17.48</v>
      </c>
      <c r="O443" s="4">
        <v>0.48881431767337813</v>
      </c>
      <c r="P443" s="3">
        <v>155000</v>
      </c>
    </row>
    <row r="444" spans="1:16">
      <c r="A444" t="s">
        <v>496</v>
      </c>
      <c r="B444" s="2">
        <v>45721</v>
      </c>
      <c r="C444" t="s">
        <v>17</v>
      </c>
      <c r="D444" t="s">
        <v>18</v>
      </c>
      <c r="E444" t="s">
        <v>19</v>
      </c>
      <c r="F444" t="s">
        <v>20</v>
      </c>
      <c r="G444" t="s">
        <v>27</v>
      </c>
      <c r="H444" t="s">
        <v>28</v>
      </c>
      <c r="I444" s="5">
        <v>2</v>
      </c>
      <c r="J444" s="3">
        <v>174.07</v>
      </c>
      <c r="K444" s="3">
        <v>348.14</v>
      </c>
      <c r="L444" s="3">
        <v>119.01</v>
      </c>
      <c r="M444" s="3">
        <v>238.02</v>
      </c>
      <c r="N444" s="3">
        <v>110.12</v>
      </c>
      <c r="O444" s="4">
        <v>0.31630953064858969</v>
      </c>
      <c r="P444" s="3">
        <v>140000</v>
      </c>
    </row>
    <row r="445" spans="1:16">
      <c r="A445" t="s">
        <v>497</v>
      </c>
      <c r="B445" s="2">
        <v>45834</v>
      </c>
      <c r="C445" t="s">
        <v>33</v>
      </c>
      <c r="D445" t="s">
        <v>54</v>
      </c>
      <c r="E445" t="s">
        <v>42</v>
      </c>
      <c r="F445" t="s">
        <v>43</v>
      </c>
      <c r="G445" t="s">
        <v>21</v>
      </c>
      <c r="H445" t="s">
        <v>22</v>
      </c>
      <c r="I445" s="5">
        <v>3</v>
      </c>
      <c r="J445" s="3">
        <v>26.33</v>
      </c>
      <c r="K445" s="3">
        <v>78.989999999999995</v>
      </c>
      <c r="L445" s="3">
        <v>15.33</v>
      </c>
      <c r="M445" s="3">
        <v>45.99</v>
      </c>
      <c r="N445" s="3">
        <v>33</v>
      </c>
      <c r="O445" s="4">
        <v>0.41777440182301562</v>
      </c>
      <c r="P445" s="3">
        <v>155000</v>
      </c>
    </row>
    <row r="446" spans="1:16">
      <c r="A446" t="s">
        <v>498</v>
      </c>
      <c r="B446" s="2">
        <v>45787</v>
      </c>
      <c r="C446" t="s">
        <v>33</v>
      </c>
      <c r="D446" t="s">
        <v>52</v>
      </c>
      <c r="E446" t="s">
        <v>26</v>
      </c>
      <c r="F446" t="s">
        <v>50</v>
      </c>
      <c r="G446" t="s">
        <v>21</v>
      </c>
      <c r="H446" t="s">
        <v>31</v>
      </c>
      <c r="I446" s="5">
        <v>8</v>
      </c>
      <c r="J446" s="3">
        <v>12.5</v>
      </c>
      <c r="K446" s="3">
        <v>100</v>
      </c>
      <c r="L446" s="3">
        <v>5.8</v>
      </c>
      <c r="M446" s="3">
        <v>46.4</v>
      </c>
      <c r="N446" s="3">
        <v>53.6</v>
      </c>
      <c r="O446" s="4">
        <v>0.53600000000000003</v>
      </c>
      <c r="P446" s="3">
        <v>155000</v>
      </c>
    </row>
    <row r="447" spans="1:16">
      <c r="A447" t="s">
        <v>499</v>
      </c>
      <c r="B447" s="2">
        <v>46001</v>
      </c>
      <c r="C447" t="s">
        <v>17</v>
      </c>
      <c r="D447" t="s">
        <v>80</v>
      </c>
      <c r="E447" t="s">
        <v>26</v>
      </c>
      <c r="F447" t="s">
        <v>50</v>
      </c>
      <c r="G447" t="s">
        <v>27</v>
      </c>
      <c r="H447" t="s">
        <v>55</v>
      </c>
      <c r="I447" s="5">
        <v>6</v>
      </c>
      <c r="J447" s="3">
        <v>606.71</v>
      </c>
      <c r="K447" s="3">
        <v>3640.26</v>
      </c>
      <c r="L447" s="3">
        <v>441.67</v>
      </c>
      <c r="M447" s="3">
        <v>2650.02</v>
      </c>
      <c r="N447" s="3">
        <v>990.24</v>
      </c>
      <c r="O447" s="4">
        <v>0.27202452572069025</v>
      </c>
      <c r="P447" s="3">
        <v>140000</v>
      </c>
    </row>
    <row r="448" spans="1:16">
      <c r="A448" t="s">
        <v>500</v>
      </c>
      <c r="B448" s="2">
        <v>45778</v>
      </c>
      <c r="C448" t="s">
        <v>17</v>
      </c>
      <c r="D448" t="s">
        <v>80</v>
      </c>
      <c r="E448" t="s">
        <v>19</v>
      </c>
      <c r="F448" t="s">
        <v>43</v>
      </c>
      <c r="G448" t="s">
        <v>35</v>
      </c>
      <c r="H448" t="s">
        <v>36</v>
      </c>
      <c r="I448" s="5">
        <v>8</v>
      </c>
      <c r="J448" s="3">
        <v>34.97</v>
      </c>
      <c r="K448" s="3">
        <v>279.76</v>
      </c>
      <c r="L448" s="3">
        <v>18.39</v>
      </c>
      <c r="M448" s="3">
        <v>147.12</v>
      </c>
      <c r="N448" s="3">
        <v>132.63999999999999</v>
      </c>
      <c r="O448" s="4">
        <v>0.47412067486416926</v>
      </c>
      <c r="P448" s="3">
        <v>140000</v>
      </c>
    </row>
    <row r="449" spans="1:16">
      <c r="A449" t="s">
        <v>501</v>
      </c>
      <c r="B449" s="2">
        <v>45814</v>
      </c>
      <c r="C449" t="s">
        <v>33</v>
      </c>
      <c r="D449" t="s">
        <v>34</v>
      </c>
      <c r="E449" t="s">
        <v>42</v>
      </c>
      <c r="F449" t="s">
        <v>43</v>
      </c>
      <c r="G449" t="s">
        <v>21</v>
      </c>
      <c r="H449" t="s">
        <v>22</v>
      </c>
      <c r="I449" s="5">
        <v>1</v>
      </c>
      <c r="J449" s="3">
        <v>27.13</v>
      </c>
      <c r="K449" s="3">
        <v>27.13</v>
      </c>
      <c r="L449" s="3">
        <v>15.58</v>
      </c>
      <c r="M449" s="3">
        <v>15.58</v>
      </c>
      <c r="N449" s="3">
        <v>11.55</v>
      </c>
      <c r="O449" s="4">
        <v>0.42572797640987842</v>
      </c>
      <c r="P449" s="3">
        <v>155000</v>
      </c>
    </row>
    <row r="450" spans="1:16">
      <c r="A450" t="s">
        <v>502</v>
      </c>
      <c r="B450" s="2">
        <v>46022</v>
      </c>
      <c r="C450" t="s">
        <v>24</v>
      </c>
      <c r="D450" t="s">
        <v>49</v>
      </c>
      <c r="E450" t="s">
        <v>42</v>
      </c>
      <c r="F450" t="s">
        <v>20</v>
      </c>
      <c r="G450" t="s">
        <v>35</v>
      </c>
      <c r="H450" t="s">
        <v>36</v>
      </c>
      <c r="I450" s="5">
        <v>8</v>
      </c>
      <c r="J450" s="3">
        <v>35.06</v>
      </c>
      <c r="K450" s="3">
        <v>280.48</v>
      </c>
      <c r="L450" s="3">
        <v>17.93</v>
      </c>
      <c r="M450" s="3">
        <v>143.44</v>
      </c>
      <c r="N450" s="3">
        <v>137.04</v>
      </c>
      <c r="O450" s="4">
        <v>0.48859098687963487</v>
      </c>
      <c r="P450" s="3">
        <v>135000</v>
      </c>
    </row>
    <row r="451" spans="1:16">
      <c r="A451" t="s">
        <v>503</v>
      </c>
      <c r="B451" s="2">
        <v>45814</v>
      </c>
      <c r="C451" t="s">
        <v>24</v>
      </c>
      <c r="D451" t="s">
        <v>25</v>
      </c>
      <c r="E451" t="s">
        <v>26</v>
      </c>
      <c r="F451" t="s">
        <v>50</v>
      </c>
      <c r="G451" t="s">
        <v>35</v>
      </c>
      <c r="H451" t="s">
        <v>63</v>
      </c>
      <c r="I451" s="5">
        <v>3</v>
      </c>
      <c r="J451" s="3">
        <v>284.98</v>
      </c>
      <c r="K451" s="3">
        <v>854.94</v>
      </c>
      <c r="L451" s="3">
        <v>176.34</v>
      </c>
      <c r="M451" s="3">
        <v>529.02</v>
      </c>
      <c r="N451" s="3">
        <v>325.92</v>
      </c>
      <c r="O451" s="4">
        <v>0.38121973471822584</v>
      </c>
      <c r="P451" s="3">
        <v>135000</v>
      </c>
    </row>
    <row r="452" spans="1:16">
      <c r="A452" t="s">
        <v>504</v>
      </c>
      <c r="B452" s="2">
        <v>45978</v>
      </c>
      <c r="C452" t="s">
        <v>17</v>
      </c>
      <c r="D452" t="s">
        <v>18</v>
      </c>
      <c r="E452" t="s">
        <v>42</v>
      </c>
      <c r="F452" t="s">
        <v>43</v>
      </c>
      <c r="G452" t="s">
        <v>21</v>
      </c>
      <c r="H452" t="s">
        <v>31</v>
      </c>
      <c r="I452" s="5">
        <v>7</v>
      </c>
      <c r="J452" s="3">
        <v>12.83</v>
      </c>
      <c r="K452" s="3">
        <v>89.81</v>
      </c>
      <c r="L452" s="3">
        <v>5.89</v>
      </c>
      <c r="M452" s="3">
        <v>41.23</v>
      </c>
      <c r="N452" s="3">
        <v>48.58</v>
      </c>
      <c r="O452" s="4">
        <v>0.54091971940763828</v>
      </c>
      <c r="P452" s="3">
        <v>140000</v>
      </c>
    </row>
    <row r="453" spans="1:16">
      <c r="A453" t="s">
        <v>505</v>
      </c>
      <c r="B453" s="2">
        <v>45676</v>
      </c>
      <c r="C453" t="s">
        <v>40</v>
      </c>
      <c r="D453" t="s">
        <v>57</v>
      </c>
      <c r="E453" t="s">
        <v>19</v>
      </c>
      <c r="F453" t="s">
        <v>20</v>
      </c>
      <c r="G453" t="s">
        <v>27</v>
      </c>
      <c r="H453" t="s">
        <v>44</v>
      </c>
      <c r="I453" s="5">
        <v>4</v>
      </c>
      <c r="J453" s="3">
        <v>350.76</v>
      </c>
      <c r="K453" s="3">
        <v>1403.04</v>
      </c>
      <c r="L453" s="3">
        <v>213.98</v>
      </c>
      <c r="M453" s="3">
        <v>855.92</v>
      </c>
      <c r="N453" s="3">
        <v>547.12</v>
      </c>
      <c r="O453" s="4">
        <v>0.38995324438362416</v>
      </c>
      <c r="P453" s="3">
        <v>165000</v>
      </c>
    </row>
    <row r="454" spans="1:16">
      <c r="A454" t="s">
        <v>506</v>
      </c>
      <c r="B454" s="2">
        <v>45806</v>
      </c>
      <c r="C454" t="s">
        <v>33</v>
      </c>
      <c r="D454" t="s">
        <v>54</v>
      </c>
      <c r="E454" t="s">
        <v>19</v>
      </c>
      <c r="F454" t="s">
        <v>20</v>
      </c>
      <c r="G454" t="s">
        <v>35</v>
      </c>
      <c r="H454" t="s">
        <v>36</v>
      </c>
      <c r="I454" s="5">
        <v>1</v>
      </c>
      <c r="J454" s="3">
        <v>36.6</v>
      </c>
      <c r="K454" s="3">
        <v>36.6</v>
      </c>
      <c r="L454" s="3">
        <v>18.809999999999999</v>
      </c>
      <c r="M454" s="3">
        <v>18.809999999999999</v>
      </c>
      <c r="N454" s="3">
        <v>17.79</v>
      </c>
      <c r="O454" s="4">
        <v>0.48606557377049175</v>
      </c>
      <c r="P454" s="3">
        <v>155000</v>
      </c>
    </row>
    <row r="455" spans="1:16">
      <c r="A455" t="s">
        <v>507</v>
      </c>
      <c r="B455" s="2">
        <v>45972</v>
      </c>
      <c r="C455" t="s">
        <v>33</v>
      </c>
      <c r="D455" t="s">
        <v>68</v>
      </c>
      <c r="E455" t="s">
        <v>26</v>
      </c>
      <c r="F455" t="s">
        <v>20</v>
      </c>
      <c r="G455" t="s">
        <v>21</v>
      </c>
      <c r="H455" t="s">
        <v>22</v>
      </c>
      <c r="I455" s="5">
        <v>8</v>
      </c>
      <c r="J455" s="3">
        <v>30.99</v>
      </c>
      <c r="K455" s="3">
        <v>247.92</v>
      </c>
      <c r="L455" s="3">
        <v>14.46</v>
      </c>
      <c r="M455" s="3">
        <v>115.68</v>
      </c>
      <c r="N455" s="3">
        <v>132.24</v>
      </c>
      <c r="O455" s="4">
        <v>0.53339787028073582</v>
      </c>
      <c r="P455" s="3">
        <v>155000</v>
      </c>
    </row>
    <row r="456" spans="1:16">
      <c r="A456" t="s">
        <v>508</v>
      </c>
      <c r="B456" s="2">
        <v>45907</v>
      </c>
      <c r="C456" t="s">
        <v>33</v>
      </c>
      <c r="D456" t="s">
        <v>52</v>
      </c>
      <c r="E456" t="s">
        <v>26</v>
      </c>
      <c r="F456" t="s">
        <v>20</v>
      </c>
      <c r="G456" t="s">
        <v>35</v>
      </c>
      <c r="H456" t="s">
        <v>58</v>
      </c>
      <c r="I456" s="5">
        <v>6</v>
      </c>
      <c r="J456" s="3">
        <v>936.11</v>
      </c>
      <c r="K456" s="3">
        <v>5616.66</v>
      </c>
      <c r="L456" s="3">
        <v>757.29</v>
      </c>
      <c r="M456" s="3">
        <v>4543.74</v>
      </c>
      <c r="N456" s="3">
        <v>1072.92</v>
      </c>
      <c r="O456" s="4">
        <v>0.19102455907959537</v>
      </c>
      <c r="P456" s="3">
        <v>155000</v>
      </c>
    </row>
    <row r="457" spans="1:16">
      <c r="A457" t="s">
        <v>509</v>
      </c>
      <c r="B457" s="2">
        <v>45681</v>
      </c>
      <c r="C457" t="s">
        <v>17</v>
      </c>
      <c r="D457" t="s">
        <v>80</v>
      </c>
      <c r="E457" t="s">
        <v>26</v>
      </c>
      <c r="F457" t="s">
        <v>43</v>
      </c>
      <c r="G457" t="s">
        <v>35</v>
      </c>
      <c r="H457" t="s">
        <v>63</v>
      </c>
      <c r="I457" s="5">
        <v>5</v>
      </c>
      <c r="J457" s="3">
        <v>267.10000000000002</v>
      </c>
      <c r="K457" s="3">
        <v>1335.5</v>
      </c>
      <c r="L457" s="3">
        <v>183.06</v>
      </c>
      <c r="M457" s="3">
        <v>915.3</v>
      </c>
      <c r="N457" s="3">
        <v>420.2</v>
      </c>
      <c r="O457" s="4">
        <v>0.3146387120928491</v>
      </c>
      <c r="P457" s="3">
        <v>140000</v>
      </c>
    </row>
    <row r="458" spans="1:16">
      <c r="A458" t="s">
        <v>510</v>
      </c>
      <c r="B458" s="2">
        <v>45850</v>
      </c>
      <c r="C458" t="s">
        <v>24</v>
      </c>
      <c r="D458" t="s">
        <v>49</v>
      </c>
      <c r="E458" t="s">
        <v>19</v>
      </c>
      <c r="F458" t="s">
        <v>43</v>
      </c>
      <c r="G458" t="s">
        <v>21</v>
      </c>
      <c r="H458" t="s">
        <v>47</v>
      </c>
      <c r="I458" s="5">
        <v>5</v>
      </c>
      <c r="J458" s="3">
        <v>41.28</v>
      </c>
      <c r="K458" s="3">
        <v>206.4</v>
      </c>
      <c r="L458" s="3">
        <v>25.22</v>
      </c>
      <c r="M458" s="3">
        <v>126.1</v>
      </c>
      <c r="N458" s="3">
        <v>80.3</v>
      </c>
      <c r="O458" s="4">
        <v>0.38905038759689919</v>
      </c>
      <c r="P458" s="3">
        <v>135000</v>
      </c>
    </row>
    <row r="459" spans="1:16">
      <c r="A459" t="s">
        <v>511</v>
      </c>
      <c r="B459" s="2">
        <v>45922</v>
      </c>
      <c r="C459" t="s">
        <v>24</v>
      </c>
      <c r="D459" t="s">
        <v>49</v>
      </c>
      <c r="E459" t="s">
        <v>42</v>
      </c>
      <c r="F459" t="s">
        <v>20</v>
      </c>
      <c r="G459" t="s">
        <v>27</v>
      </c>
      <c r="H459" t="s">
        <v>55</v>
      </c>
      <c r="I459" s="5">
        <v>1</v>
      </c>
      <c r="J459" s="3">
        <v>626.45000000000005</v>
      </c>
      <c r="K459" s="3">
        <v>626.45000000000005</v>
      </c>
      <c r="L459" s="3">
        <v>418.78</v>
      </c>
      <c r="M459" s="3">
        <v>418.78</v>
      </c>
      <c r="N459" s="3">
        <v>207.67</v>
      </c>
      <c r="O459" s="4">
        <v>0.33150291324128017</v>
      </c>
      <c r="P459" s="3">
        <v>135000</v>
      </c>
    </row>
    <row r="460" spans="1:16">
      <c r="A460" t="s">
        <v>512</v>
      </c>
      <c r="B460" s="2">
        <v>45742</v>
      </c>
      <c r="C460" t="s">
        <v>33</v>
      </c>
      <c r="D460" t="s">
        <v>52</v>
      </c>
      <c r="E460" t="s">
        <v>19</v>
      </c>
      <c r="F460" t="s">
        <v>20</v>
      </c>
      <c r="G460" t="s">
        <v>21</v>
      </c>
      <c r="H460" t="s">
        <v>22</v>
      </c>
      <c r="I460" s="5">
        <v>3</v>
      </c>
      <c r="J460" s="3">
        <v>26.17</v>
      </c>
      <c r="K460" s="3">
        <v>78.510000000000005</v>
      </c>
      <c r="L460" s="3">
        <v>15.3</v>
      </c>
      <c r="M460" s="3">
        <v>45.9</v>
      </c>
      <c r="N460" s="3">
        <v>32.61</v>
      </c>
      <c r="O460" s="4">
        <v>0.41536110049675196</v>
      </c>
      <c r="P460" s="3">
        <v>155000</v>
      </c>
    </row>
    <row r="461" spans="1:16">
      <c r="A461" t="s">
        <v>513</v>
      </c>
      <c r="B461" s="2">
        <v>45718</v>
      </c>
      <c r="C461" t="s">
        <v>33</v>
      </c>
      <c r="D461" t="s">
        <v>54</v>
      </c>
      <c r="E461" t="s">
        <v>42</v>
      </c>
      <c r="F461" t="s">
        <v>50</v>
      </c>
      <c r="G461" t="s">
        <v>27</v>
      </c>
      <c r="H461" t="s">
        <v>55</v>
      </c>
      <c r="I461" s="5">
        <v>8</v>
      </c>
      <c r="J461" s="3">
        <v>623.34</v>
      </c>
      <c r="K461" s="3">
        <v>4986.72</v>
      </c>
      <c r="L461" s="3">
        <v>438.2</v>
      </c>
      <c r="M461" s="3">
        <v>3505.6</v>
      </c>
      <c r="N461" s="3">
        <v>1481.12</v>
      </c>
      <c r="O461" s="4">
        <v>0.29701286617255429</v>
      </c>
      <c r="P461" s="3">
        <v>155000</v>
      </c>
    </row>
    <row r="462" spans="1:16">
      <c r="A462" t="s">
        <v>514</v>
      </c>
      <c r="B462" s="2">
        <v>45989</v>
      </c>
      <c r="C462" t="s">
        <v>24</v>
      </c>
      <c r="D462" t="s">
        <v>25</v>
      </c>
      <c r="E462" t="s">
        <v>26</v>
      </c>
      <c r="F462" t="s">
        <v>20</v>
      </c>
      <c r="G462" t="s">
        <v>21</v>
      </c>
      <c r="H462" t="s">
        <v>22</v>
      </c>
      <c r="I462" s="5">
        <v>3</v>
      </c>
      <c r="J462" s="3">
        <v>29.08</v>
      </c>
      <c r="K462" s="3">
        <v>87.24</v>
      </c>
      <c r="L462" s="3">
        <v>14.46</v>
      </c>
      <c r="M462" s="3">
        <v>43.38</v>
      </c>
      <c r="N462" s="3">
        <v>43.86</v>
      </c>
      <c r="O462" s="4">
        <v>0.50275103163686385</v>
      </c>
      <c r="P462" s="3">
        <v>135000</v>
      </c>
    </row>
    <row r="463" spans="1:16">
      <c r="A463" t="s">
        <v>515</v>
      </c>
      <c r="B463" s="2">
        <v>45951</v>
      </c>
      <c r="C463" t="s">
        <v>33</v>
      </c>
      <c r="D463" t="s">
        <v>52</v>
      </c>
      <c r="E463" t="s">
        <v>26</v>
      </c>
      <c r="F463" t="s">
        <v>43</v>
      </c>
      <c r="G463" t="s">
        <v>27</v>
      </c>
      <c r="H463" t="s">
        <v>28</v>
      </c>
      <c r="I463" s="5">
        <v>7</v>
      </c>
      <c r="J463" s="3">
        <v>185.73</v>
      </c>
      <c r="K463" s="3">
        <v>1300.1099999999999</v>
      </c>
      <c r="L463" s="3">
        <v>116.88</v>
      </c>
      <c r="M463" s="3">
        <v>818.16</v>
      </c>
      <c r="N463" s="3">
        <v>481.95</v>
      </c>
      <c r="O463" s="4">
        <v>0.37069940235826199</v>
      </c>
      <c r="P463" s="3">
        <v>155000</v>
      </c>
    </row>
    <row r="464" spans="1:16">
      <c r="A464" t="s">
        <v>516</v>
      </c>
      <c r="B464" s="2">
        <v>45667</v>
      </c>
      <c r="C464" t="s">
        <v>40</v>
      </c>
      <c r="D464" t="s">
        <v>41</v>
      </c>
      <c r="E464" t="s">
        <v>26</v>
      </c>
      <c r="F464" t="s">
        <v>50</v>
      </c>
      <c r="G464" t="s">
        <v>27</v>
      </c>
      <c r="H464" t="s">
        <v>55</v>
      </c>
      <c r="I464" s="5">
        <v>8</v>
      </c>
      <c r="J464" s="3">
        <v>581.27</v>
      </c>
      <c r="K464" s="3">
        <v>4650.16</v>
      </c>
      <c r="L464" s="3">
        <v>448.51</v>
      </c>
      <c r="M464" s="3">
        <v>3588.08</v>
      </c>
      <c r="N464" s="3">
        <v>1062.08</v>
      </c>
      <c r="O464" s="4">
        <v>0.22839644227295405</v>
      </c>
      <c r="P464" s="3">
        <v>165000</v>
      </c>
    </row>
    <row r="465" spans="1:16">
      <c r="A465" t="s">
        <v>517</v>
      </c>
      <c r="B465" s="2">
        <v>45965</v>
      </c>
      <c r="C465" t="s">
        <v>33</v>
      </c>
      <c r="D465" t="s">
        <v>68</v>
      </c>
      <c r="E465" t="s">
        <v>19</v>
      </c>
      <c r="F465" t="s">
        <v>50</v>
      </c>
      <c r="G465" t="s">
        <v>21</v>
      </c>
      <c r="H465" t="s">
        <v>22</v>
      </c>
      <c r="I465" s="5">
        <v>6</v>
      </c>
      <c r="J465" s="3">
        <v>30.88</v>
      </c>
      <c r="K465" s="3">
        <v>185.28</v>
      </c>
      <c r="L465" s="3">
        <v>15.29</v>
      </c>
      <c r="M465" s="3">
        <v>91.74</v>
      </c>
      <c r="N465" s="3">
        <v>93.54</v>
      </c>
      <c r="O465" s="4">
        <v>0.50485751295336789</v>
      </c>
      <c r="P465" s="3">
        <v>155000</v>
      </c>
    </row>
    <row r="466" spans="1:16">
      <c r="A466" t="s">
        <v>518</v>
      </c>
      <c r="B466" s="2">
        <v>45693</v>
      </c>
      <c r="C466" t="s">
        <v>33</v>
      </c>
      <c r="D466" t="s">
        <v>54</v>
      </c>
      <c r="E466" t="s">
        <v>26</v>
      </c>
      <c r="F466" t="s">
        <v>20</v>
      </c>
      <c r="G466" t="s">
        <v>35</v>
      </c>
      <c r="H466" t="s">
        <v>58</v>
      </c>
      <c r="I466" s="5">
        <v>7</v>
      </c>
      <c r="J466" s="3">
        <v>1027.74</v>
      </c>
      <c r="K466" s="3">
        <v>7194.18</v>
      </c>
      <c r="L466" s="3">
        <v>734.8</v>
      </c>
      <c r="M466" s="3">
        <v>5143.6000000000004</v>
      </c>
      <c r="N466" s="3">
        <v>2050.58</v>
      </c>
      <c r="O466" s="4">
        <v>0.28503317959795277</v>
      </c>
      <c r="P466" s="3">
        <v>155000</v>
      </c>
    </row>
    <row r="467" spans="1:16">
      <c r="A467" t="s">
        <v>519</v>
      </c>
      <c r="B467" s="2">
        <v>45748</v>
      </c>
      <c r="C467" t="s">
        <v>24</v>
      </c>
      <c r="D467" t="s">
        <v>25</v>
      </c>
      <c r="E467" t="s">
        <v>42</v>
      </c>
      <c r="F467" t="s">
        <v>50</v>
      </c>
      <c r="G467" t="s">
        <v>21</v>
      </c>
      <c r="H467" t="s">
        <v>47</v>
      </c>
      <c r="I467" s="5">
        <v>2</v>
      </c>
      <c r="J467" s="3">
        <v>42.26</v>
      </c>
      <c r="K467" s="3">
        <v>84.52</v>
      </c>
      <c r="L467" s="3">
        <v>23.35</v>
      </c>
      <c r="M467" s="3">
        <v>46.7</v>
      </c>
      <c r="N467" s="3">
        <v>37.82</v>
      </c>
      <c r="O467" s="4">
        <v>0.44746805489824898</v>
      </c>
      <c r="P467" s="3">
        <v>135000</v>
      </c>
    </row>
    <row r="468" spans="1:16">
      <c r="A468" t="s">
        <v>520</v>
      </c>
      <c r="B468" s="2">
        <v>45966</v>
      </c>
      <c r="C468" t="s">
        <v>17</v>
      </c>
      <c r="D468" t="s">
        <v>38</v>
      </c>
      <c r="E468" t="s">
        <v>19</v>
      </c>
      <c r="F468" t="s">
        <v>20</v>
      </c>
      <c r="G468" t="s">
        <v>21</v>
      </c>
      <c r="H468" t="s">
        <v>31</v>
      </c>
      <c r="I468" s="5">
        <v>7</v>
      </c>
      <c r="J468" s="3">
        <v>11.41</v>
      </c>
      <c r="K468" s="3">
        <v>79.87</v>
      </c>
      <c r="L468" s="3">
        <v>6.24</v>
      </c>
      <c r="M468" s="3">
        <v>43.68</v>
      </c>
      <c r="N468" s="3">
        <v>36.19</v>
      </c>
      <c r="O468" s="4">
        <v>0.45311130587204201</v>
      </c>
      <c r="P468" s="3">
        <v>140000</v>
      </c>
    </row>
    <row r="469" spans="1:16">
      <c r="A469" t="s">
        <v>521</v>
      </c>
      <c r="B469" s="2">
        <v>45853</v>
      </c>
      <c r="C469" t="s">
        <v>40</v>
      </c>
      <c r="D469" t="s">
        <v>41</v>
      </c>
      <c r="E469" t="s">
        <v>26</v>
      </c>
      <c r="F469" t="s">
        <v>20</v>
      </c>
      <c r="G469" t="s">
        <v>35</v>
      </c>
      <c r="H469" t="s">
        <v>58</v>
      </c>
      <c r="I469" s="5">
        <v>2</v>
      </c>
      <c r="J469" s="3">
        <v>914.2</v>
      </c>
      <c r="K469" s="3">
        <v>1828.4</v>
      </c>
      <c r="L469" s="3">
        <v>754.33</v>
      </c>
      <c r="M469" s="3">
        <v>1508.66</v>
      </c>
      <c r="N469" s="3">
        <v>319.74</v>
      </c>
      <c r="O469" s="4">
        <v>0.1748742069569022</v>
      </c>
      <c r="P469" s="3">
        <v>165000</v>
      </c>
    </row>
    <row r="470" spans="1:16">
      <c r="A470" t="s">
        <v>522</v>
      </c>
      <c r="B470" s="2">
        <v>45867</v>
      </c>
      <c r="C470" t="s">
        <v>40</v>
      </c>
      <c r="D470" t="s">
        <v>65</v>
      </c>
      <c r="E470" t="s">
        <v>26</v>
      </c>
      <c r="F470" t="s">
        <v>50</v>
      </c>
      <c r="G470" t="s">
        <v>21</v>
      </c>
      <c r="H470" t="s">
        <v>31</v>
      </c>
      <c r="I470" s="5">
        <v>2</v>
      </c>
      <c r="J470" s="3">
        <v>12.17</v>
      </c>
      <c r="K470" s="3">
        <v>24.34</v>
      </c>
      <c r="L470" s="3">
        <v>5.99</v>
      </c>
      <c r="M470" s="3">
        <v>11.98</v>
      </c>
      <c r="N470" s="3">
        <v>12.36</v>
      </c>
      <c r="O470" s="4">
        <v>0.50780608052588327</v>
      </c>
      <c r="P470" s="3">
        <v>165000</v>
      </c>
    </row>
    <row r="471" spans="1:16">
      <c r="A471" t="s">
        <v>523</v>
      </c>
      <c r="B471" s="2">
        <v>45763</v>
      </c>
      <c r="C471" t="s">
        <v>40</v>
      </c>
      <c r="D471" t="s">
        <v>57</v>
      </c>
      <c r="E471" t="s">
        <v>26</v>
      </c>
      <c r="F471" t="s">
        <v>20</v>
      </c>
      <c r="G471" t="s">
        <v>35</v>
      </c>
      <c r="H471" t="s">
        <v>63</v>
      </c>
      <c r="I471" s="5">
        <v>5</v>
      </c>
      <c r="J471" s="3">
        <v>282.89999999999998</v>
      </c>
      <c r="K471" s="3">
        <v>1414.5</v>
      </c>
      <c r="L471" s="3">
        <v>180.42</v>
      </c>
      <c r="M471" s="3">
        <v>902.1</v>
      </c>
      <c r="N471" s="3">
        <v>512.4</v>
      </c>
      <c r="O471" s="4">
        <v>0.36224814422057261</v>
      </c>
      <c r="P471" s="3">
        <v>165000</v>
      </c>
    </row>
    <row r="472" spans="1:16">
      <c r="A472" t="s">
        <v>524</v>
      </c>
      <c r="B472" s="2">
        <v>45845</v>
      </c>
      <c r="C472" t="s">
        <v>40</v>
      </c>
      <c r="D472" t="s">
        <v>57</v>
      </c>
      <c r="E472" t="s">
        <v>42</v>
      </c>
      <c r="F472" t="s">
        <v>20</v>
      </c>
      <c r="G472" t="s">
        <v>27</v>
      </c>
      <c r="H472" t="s">
        <v>28</v>
      </c>
      <c r="I472" s="5">
        <v>8</v>
      </c>
      <c r="J472" s="3">
        <v>169.08</v>
      </c>
      <c r="K472" s="3">
        <v>1352.64</v>
      </c>
      <c r="L472" s="3">
        <v>116.83</v>
      </c>
      <c r="M472" s="3">
        <v>934.64</v>
      </c>
      <c r="N472" s="3">
        <v>418</v>
      </c>
      <c r="O472" s="4">
        <v>0.30902531346108347</v>
      </c>
      <c r="P472" s="3">
        <v>165000</v>
      </c>
    </row>
    <row r="473" spans="1:16">
      <c r="A473" t="s">
        <v>525</v>
      </c>
      <c r="B473" s="2">
        <v>45905</v>
      </c>
      <c r="C473" t="s">
        <v>40</v>
      </c>
      <c r="D473" t="s">
        <v>46</v>
      </c>
      <c r="E473" t="s">
        <v>19</v>
      </c>
      <c r="F473" t="s">
        <v>50</v>
      </c>
      <c r="G473" t="s">
        <v>27</v>
      </c>
      <c r="H473" t="s">
        <v>44</v>
      </c>
      <c r="I473" s="5">
        <v>3</v>
      </c>
      <c r="J473" s="3">
        <v>348.19</v>
      </c>
      <c r="K473" s="3">
        <v>1044.57</v>
      </c>
      <c r="L473" s="3">
        <v>215.44</v>
      </c>
      <c r="M473" s="3">
        <v>646.32000000000005</v>
      </c>
      <c r="N473" s="3">
        <v>398.25</v>
      </c>
      <c r="O473" s="4">
        <v>0.38125735948763606</v>
      </c>
      <c r="P473" s="3">
        <v>165000</v>
      </c>
    </row>
    <row r="474" spans="1:16">
      <c r="A474" t="s">
        <v>526</v>
      </c>
      <c r="B474" s="2">
        <v>45775</v>
      </c>
      <c r="C474" t="s">
        <v>24</v>
      </c>
      <c r="D474" t="s">
        <v>30</v>
      </c>
      <c r="E474" t="s">
        <v>26</v>
      </c>
      <c r="F474" t="s">
        <v>50</v>
      </c>
      <c r="G474" t="s">
        <v>35</v>
      </c>
      <c r="H474" t="s">
        <v>36</v>
      </c>
      <c r="I474" s="5">
        <v>1</v>
      </c>
      <c r="J474" s="3">
        <v>32.74</v>
      </c>
      <c r="K474" s="3">
        <v>32.74</v>
      </c>
      <c r="L474" s="3">
        <v>19.02</v>
      </c>
      <c r="M474" s="3">
        <v>19.02</v>
      </c>
      <c r="N474" s="3">
        <v>13.72</v>
      </c>
      <c r="O474" s="4">
        <v>0.41905925473427003</v>
      </c>
      <c r="P474" s="3">
        <v>135000</v>
      </c>
    </row>
    <row r="475" spans="1:16">
      <c r="A475" t="s">
        <v>527</v>
      </c>
      <c r="B475" s="2">
        <v>45660</v>
      </c>
      <c r="C475" t="s">
        <v>17</v>
      </c>
      <c r="D475" t="s">
        <v>60</v>
      </c>
      <c r="E475" t="s">
        <v>19</v>
      </c>
      <c r="F475" t="s">
        <v>50</v>
      </c>
      <c r="G475" t="s">
        <v>21</v>
      </c>
      <c r="H475" t="s">
        <v>47</v>
      </c>
      <c r="I475" s="5">
        <v>2</v>
      </c>
      <c r="J475" s="3">
        <v>40.229999999999997</v>
      </c>
      <c r="K475" s="3">
        <v>80.459999999999994</v>
      </c>
      <c r="L475" s="3">
        <v>23.93</v>
      </c>
      <c r="M475" s="3">
        <v>47.86</v>
      </c>
      <c r="N475" s="3">
        <v>32.6</v>
      </c>
      <c r="O475" s="4">
        <v>0.40517027094208308</v>
      </c>
      <c r="P475" s="3">
        <v>140000</v>
      </c>
    </row>
    <row r="476" spans="1:16">
      <c r="A476" t="s">
        <v>528</v>
      </c>
      <c r="B476" s="2">
        <v>45969</v>
      </c>
      <c r="C476" t="s">
        <v>17</v>
      </c>
      <c r="D476" t="s">
        <v>38</v>
      </c>
      <c r="E476" t="s">
        <v>42</v>
      </c>
      <c r="F476" t="s">
        <v>20</v>
      </c>
      <c r="G476" t="s">
        <v>27</v>
      </c>
      <c r="H476" t="s">
        <v>28</v>
      </c>
      <c r="I476" s="5">
        <v>5</v>
      </c>
      <c r="J476" s="3">
        <v>190.18</v>
      </c>
      <c r="K476" s="3">
        <v>950.9</v>
      </c>
      <c r="L476" s="3">
        <v>117.27</v>
      </c>
      <c r="M476" s="3">
        <v>586.35</v>
      </c>
      <c r="N476" s="3">
        <v>364.55</v>
      </c>
      <c r="O476" s="4">
        <v>0.38337364601956042</v>
      </c>
      <c r="P476" s="3">
        <v>140000</v>
      </c>
    </row>
    <row r="477" spans="1:16">
      <c r="A477" t="s">
        <v>529</v>
      </c>
      <c r="B477" s="2">
        <v>45747</v>
      </c>
      <c r="C477" t="s">
        <v>24</v>
      </c>
      <c r="D477" t="s">
        <v>74</v>
      </c>
      <c r="E477" t="s">
        <v>26</v>
      </c>
      <c r="F477" t="s">
        <v>43</v>
      </c>
      <c r="G477" t="s">
        <v>27</v>
      </c>
      <c r="H477" t="s">
        <v>28</v>
      </c>
      <c r="I477" s="5">
        <v>5</v>
      </c>
      <c r="J477" s="3">
        <v>169.71</v>
      </c>
      <c r="K477" s="3">
        <v>848.55</v>
      </c>
      <c r="L477" s="3">
        <v>119.42</v>
      </c>
      <c r="M477" s="3">
        <v>597.1</v>
      </c>
      <c r="N477" s="3">
        <v>251.45</v>
      </c>
      <c r="O477" s="4">
        <v>0.29632903187790938</v>
      </c>
      <c r="P477" s="3">
        <v>135000</v>
      </c>
    </row>
    <row r="478" spans="1:16">
      <c r="A478" t="s">
        <v>530</v>
      </c>
      <c r="B478" s="2">
        <v>45919</v>
      </c>
      <c r="C478" t="s">
        <v>33</v>
      </c>
      <c r="D478" t="s">
        <v>68</v>
      </c>
      <c r="E478" t="s">
        <v>19</v>
      </c>
      <c r="F478" t="s">
        <v>20</v>
      </c>
      <c r="G478" t="s">
        <v>21</v>
      </c>
      <c r="H478" t="s">
        <v>31</v>
      </c>
      <c r="I478" s="5">
        <v>3</v>
      </c>
      <c r="J478" s="3">
        <v>11.03</v>
      </c>
      <c r="K478" s="3">
        <v>33.090000000000003</v>
      </c>
      <c r="L478" s="3">
        <v>5.93</v>
      </c>
      <c r="M478" s="3">
        <v>17.79</v>
      </c>
      <c r="N478" s="3">
        <v>15.3</v>
      </c>
      <c r="O478" s="4">
        <v>0.46237533998186758</v>
      </c>
      <c r="P478" s="3">
        <v>155000</v>
      </c>
    </row>
    <row r="479" spans="1:16">
      <c r="A479" t="s">
        <v>531</v>
      </c>
      <c r="B479" s="2">
        <v>45862</v>
      </c>
      <c r="C479" t="s">
        <v>40</v>
      </c>
      <c r="D479" t="s">
        <v>57</v>
      </c>
      <c r="E479" t="s">
        <v>26</v>
      </c>
      <c r="F479" t="s">
        <v>20</v>
      </c>
      <c r="G479" t="s">
        <v>21</v>
      </c>
      <c r="H479" t="s">
        <v>31</v>
      </c>
      <c r="I479" s="5">
        <v>2</v>
      </c>
      <c r="J479" s="3">
        <v>13.23</v>
      </c>
      <c r="K479" s="3">
        <v>26.46</v>
      </c>
      <c r="L479" s="3">
        <v>6.09</v>
      </c>
      <c r="M479" s="3">
        <v>12.18</v>
      </c>
      <c r="N479" s="3">
        <v>14.28</v>
      </c>
      <c r="O479" s="4">
        <v>0.53968253968253965</v>
      </c>
      <c r="P479" s="3">
        <v>165000</v>
      </c>
    </row>
    <row r="480" spans="1:16">
      <c r="A480" t="s">
        <v>532</v>
      </c>
      <c r="B480" s="2">
        <v>45944</v>
      </c>
      <c r="C480" t="s">
        <v>40</v>
      </c>
      <c r="D480" t="s">
        <v>46</v>
      </c>
      <c r="E480" t="s">
        <v>42</v>
      </c>
      <c r="F480" t="s">
        <v>20</v>
      </c>
      <c r="G480" t="s">
        <v>35</v>
      </c>
      <c r="H480" t="s">
        <v>58</v>
      </c>
      <c r="I480" s="5">
        <v>8</v>
      </c>
      <c r="J480" s="3">
        <v>1049.31</v>
      </c>
      <c r="K480" s="3">
        <v>8394.48</v>
      </c>
      <c r="L480" s="3">
        <v>732.59</v>
      </c>
      <c r="M480" s="3">
        <v>5860.72</v>
      </c>
      <c r="N480" s="3">
        <v>2533.7600000000002</v>
      </c>
      <c r="O480" s="4">
        <v>0.30183644490188793</v>
      </c>
      <c r="P480" s="3">
        <v>165000</v>
      </c>
    </row>
    <row r="481" spans="1:16">
      <c r="A481" t="s">
        <v>533</v>
      </c>
      <c r="B481" s="2">
        <v>45791</v>
      </c>
      <c r="C481" t="s">
        <v>33</v>
      </c>
      <c r="D481" t="s">
        <v>54</v>
      </c>
      <c r="E481" t="s">
        <v>19</v>
      </c>
      <c r="F481" t="s">
        <v>50</v>
      </c>
      <c r="G481" t="s">
        <v>27</v>
      </c>
      <c r="H481" t="s">
        <v>28</v>
      </c>
      <c r="I481" s="5">
        <v>5</v>
      </c>
      <c r="J481" s="3">
        <v>175.46</v>
      </c>
      <c r="K481" s="3">
        <v>877.3</v>
      </c>
      <c r="L481" s="3">
        <v>111.75</v>
      </c>
      <c r="M481" s="3">
        <v>558.75</v>
      </c>
      <c r="N481" s="3">
        <v>318.55</v>
      </c>
      <c r="O481" s="4">
        <v>0.36310270147042062</v>
      </c>
      <c r="P481" s="3">
        <v>155000</v>
      </c>
    </row>
    <row r="482" spans="1:16">
      <c r="A482" t="s">
        <v>534</v>
      </c>
      <c r="B482" s="2">
        <v>45920</v>
      </c>
      <c r="C482" t="s">
        <v>40</v>
      </c>
      <c r="D482" t="s">
        <v>46</v>
      </c>
      <c r="E482" t="s">
        <v>19</v>
      </c>
      <c r="F482" t="s">
        <v>43</v>
      </c>
      <c r="G482" t="s">
        <v>27</v>
      </c>
      <c r="H482" t="s">
        <v>55</v>
      </c>
      <c r="I482" s="5">
        <v>4</v>
      </c>
      <c r="J482" s="3">
        <v>661.32</v>
      </c>
      <c r="K482" s="3">
        <v>2645.28</v>
      </c>
      <c r="L482" s="3">
        <v>454.13</v>
      </c>
      <c r="M482" s="3">
        <v>1816.52</v>
      </c>
      <c r="N482" s="3">
        <v>828.76</v>
      </c>
      <c r="O482" s="4">
        <v>0.31329764712998243</v>
      </c>
      <c r="P482" s="3">
        <v>165000</v>
      </c>
    </row>
    <row r="483" spans="1:16">
      <c r="A483" t="s">
        <v>535</v>
      </c>
      <c r="B483" s="2">
        <v>45892</v>
      </c>
      <c r="C483" t="s">
        <v>24</v>
      </c>
      <c r="D483" t="s">
        <v>25</v>
      </c>
      <c r="E483" t="s">
        <v>19</v>
      </c>
      <c r="F483" t="s">
        <v>20</v>
      </c>
      <c r="G483" t="s">
        <v>27</v>
      </c>
      <c r="H483" t="s">
        <v>44</v>
      </c>
      <c r="I483" s="5">
        <v>4</v>
      </c>
      <c r="J483" s="3">
        <v>335.65</v>
      </c>
      <c r="K483" s="3">
        <v>1342.6</v>
      </c>
      <c r="L483" s="3">
        <v>206.43</v>
      </c>
      <c r="M483" s="3">
        <v>825.72</v>
      </c>
      <c r="N483" s="3">
        <v>516.88</v>
      </c>
      <c r="O483" s="4">
        <v>0.38498435870698644</v>
      </c>
      <c r="P483" s="3">
        <v>135000</v>
      </c>
    </row>
    <row r="484" spans="1:16">
      <c r="A484" t="s">
        <v>536</v>
      </c>
      <c r="B484" s="2">
        <v>45819</v>
      </c>
      <c r="C484" t="s">
        <v>24</v>
      </c>
      <c r="D484" t="s">
        <v>49</v>
      </c>
      <c r="E484" t="s">
        <v>19</v>
      </c>
      <c r="F484" t="s">
        <v>20</v>
      </c>
      <c r="G484" t="s">
        <v>35</v>
      </c>
      <c r="H484" t="s">
        <v>63</v>
      </c>
      <c r="I484" s="5">
        <v>4</v>
      </c>
      <c r="J484" s="3">
        <v>250.43</v>
      </c>
      <c r="K484" s="3">
        <v>1001.72</v>
      </c>
      <c r="L484" s="3">
        <v>179.98</v>
      </c>
      <c r="M484" s="3">
        <v>719.92</v>
      </c>
      <c r="N484" s="3">
        <v>281.8</v>
      </c>
      <c r="O484" s="4">
        <v>0.28131613624565749</v>
      </c>
      <c r="P484" s="3">
        <v>135000</v>
      </c>
    </row>
    <row r="485" spans="1:16">
      <c r="A485" t="s">
        <v>537</v>
      </c>
      <c r="B485" s="2">
        <v>45833</v>
      </c>
      <c r="C485" t="s">
        <v>17</v>
      </c>
      <c r="D485" t="s">
        <v>60</v>
      </c>
      <c r="E485" t="s">
        <v>19</v>
      </c>
      <c r="F485" t="s">
        <v>20</v>
      </c>
      <c r="G485" t="s">
        <v>35</v>
      </c>
      <c r="H485" t="s">
        <v>63</v>
      </c>
      <c r="I485" s="5">
        <v>3</v>
      </c>
      <c r="J485" s="3">
        <v>288.18</v>
      </c>
      <c r="K485" s="3">
        <v>864.54</v>
      </c>
      <c r="L485" s="3">
        <v>185.1</v>
      </c>
      <c r="M485" s="3">
        <v>555.29999999999995</v>
      </c>
      <c r="N485" s="3">
        <v>309.24</v>
      </c>
      <c r="O485" s="4">
        <v>0.35769310847387054</v>
      </c>
      <c r="P485" s="3">
        <v>140000</v>
      </c>
    </row>
    <row r="486" spans="1:16">
      <c r="A486" t="s">
        <v>538</v>
      </c>
      <c r="B486" s="2">
        <v>45755</v>
      </c>
      <c r="C486" t="s">
        <v>24</v>
      </c>
      <c r="D486" t="s">
        <v>30</v>
      </c>
      <c r="E486" t="s">
        <v>26</v>
      </c>
      <c r="F486" t="s">
        <v>20</v>
      </c>
      <c r="G486" t="s">
        <v>35</v>
      </c>
      <c r="H486" t="s">
        <v>63</v>
      </c>
      <c r="I486" s="5">
        <v>4</v>
      </c>
      <c r="J486" s="3">
        <v>247.11</v>
      </c>
      <c r="K486" s="3">
        <v>988.44</v>
      </c>
      <c r="L486" s="3">
        <v>187.83</v>
      </c>
      <c r="M486" s="3">
        <v>751.32</v>
      </c>
      <c r="N486" s="3">
        <v>237.12</v>
      </c>
      <c r="O486" s="4">
        <v>0.23989316498725263</v>
      </c>
      <c r="P486" s="3">
        <v>135000</v>
      </c>
    </row>
    <row r="487" spans="1:16">
      <c r="A487" t="s">
        <v>539</v>
      </c>
      <c r="B487" s="2">
        <v>45974</v>
      </c>
      <c r="C487" t="s">
        <v>40</v>
      </c>
      <c r="D487" t="s">
        <v>65</v>
      </c>
      <c r="E487" t="s">
        <v>42</v>
      </c>
      <c r="F487" t="s">
        <v>20</v>
      </c>
      <c r="G487" t="s">
        <v>21</v>
      </c>
      <c r="H487" t="s">
        <v>47</v>
      </c>
      <c r="I487" s="5">
        <v>8</v>
      </c>
      <c r="J487" s="3">
        <v>43.47</v>
      </c>
      <c r="K487" s="3">
        <v>347.76</v>
      </c>
      <c r="L487" s="3">
        <v>24.87</v>
      </c>
      <c r="M487" s="3">
        <v>198.96</v>
      </c>
      <c r="N487" s="3">
        <v>148.80000000000001</v>
      </c>
      <c r="O487" s="4">
        <v>0.42788129744651487</v>
      </c>
      <c r="P487" s="3">
        <v>165000</v>
      </c>
    </row>
    <row r="488" spans="1:16">
      <c r="A488" t="s">
        <v>540</v>
      </c>
      <c r="B488" s="2">
        <v>45935</v>
      </c>
      <c r="C488" t="s">
        <v>17</v>
      </c>
      <c r="D488" t="s">
        <v>38</v>
      </c>
      <c r="E488" t="s">
        <v>26</v>
      </c>
      <c r="F488" t="s">
        <v>20</v>
      </c>
      <c r="G488" t="s">
        <v>35</v>
      </c>
      <c r="H488" t="s">
        <v>63</v>
      </c>
      <c r="I488" s="5">
        <v>8</v>
      </c>
      <c r="J488" s="3">
        <v>244.46</v>
      </c>
      <c r="K488" s="3">
        <v>1955.68</v>
      </c>
      <c r="L488" s="3">
        <v>186.56</v>
      </c>
      <c r="M488" s="3">
        <v>1492.48</v>
      </c>
      <c r="N488" s="3">
        <v>463.2</v>
      </c>
      <c r="O488" s="4">
        <v>0.23684856418227929</v>
      </c>
      <c r="P488" s="3">
        <v>140000</v>
      </c>
    </row>
    <row r="489" spans="1:16">
      <c r="A489" t="s">
        <v>541</v>
      </c>
      <c r="B489" s="2">
        <v>45919</v>
      </c>
      <c r="C489" t="s">
        <v>40</v>
      </c>
      <c r="D489" t="s">
        <v>57</v>
      </c>
      <c r="E489" t="s">
        <v>26</v>
      </c>
      <c r="F489" t="s">
        <v>50</v>
      </c>
      <c r="G489" t="s">
        <v>21</v>
      </c>
      <c r="H489" t="s">
        <v>31</v>
      </c>
      <c r="I489" s="5">
        <v>7</v>
      </c>
      <c r="J489" s="3">
        <v>12.06</v>
      </c>
      <c r="K489" s="3">
        <v>84.42</v>
      </c>
      <c r="L489" s="3">
        <v>6.08</v>
      </c>
      <c r="M489" s="3">
        <v>42.56</v>
      </c>
      <c r="N489" s="3">
        <v>41.86</v>
      </c>
      <c r="O489" s="4">
        <v>0.49585406301824209</v>
      </c>
      <c r="P489" s="3">
        <v>165000</v>
      </c>
    </row>
    <row r="490" spans="1:16">
      <c r="A490" t="s">
        <v>542</v>
      </c>
      <c r="B490" s="2">
        <v>45915</v>
      </c>
      <c r="C490" t="s">
        <v>40</v>
      </c>
      <c r="D490" t="s">
        <v>57</v>
      </c>
      <c r="E490" t="s">
        <v>42</v>
      </c>
      <c r="F490" t="s">
        <v>50</v>
      </c>
      <c r="G490" t="s">
        <v>27</v>
      </c>
      <c r="H490" t="s">
        <v>55</v>
      </c>
      <c r="I490" s="5">
        <v>2</v>
      </c>
      <c r="J490" s="3">
        <v>653.24</v>
      </c>
      <c r="K490" s="3">
        <v>1306.48</v>
      </c>
      <c r="L490" s="3">
        <v>432.58</v>
      </c>
      <c r="M490" s="3">
        <v>865.16</v>
      </c>
      <c r="N490" s="3">
        <v>441.32</v>
      </c>
      <c r="O490" s="4">
        <v>0.33779315412405853</v>
      </c>
      <c r="P490" s="3">
        <v>165000</v>
      </c>
    </row>
    <row r="491" spans="1:16">
      <c r="A491" t="s">
        <v>543</v>
      </c>
      <c r="B491" s="2">
        <v>46010</v>
      </c>
      <c r="C491" t="s">
        <v>17</v>
      </c>
      <c r="D491" t="s">
        <v>18</v>
      </c>
      <c r="E491" t="s">
        <v>19</v>
      </c>
      <c r="F491" t="s">
        <v>20</v>
      </c>
      <c r="G491" t="s">
        <v>21</v>
      </c>
      <c r="H491" t="s">
        <v>47</v>
      </c>
      <c r="I491" s="5">
        <v>6</v>
      </c>
      <c r="J491" s="3">
        <v>41.14</v>
      </c>
      <c r="K491" s="3">
        <v>246.84</v>
      </c>
      <c r="L491" s="3">
        <v>25.11</v>
      </c>
      <c r="M491" s="3">
        <v>150.66</v>
      </c>
      <c r="N491" s="3">
        <v>96.18</v>
      </c>
      <c r="O491" s="4">
        <v>0.38964511424404474</v>
      </c>
      <c r="P491" s="3">
        <v>140000</v>
      </c>
    </row>
    <row r="492" spans="1:16">
      <c r="A492" t="s">
        <v>544</v>
      </c>
      <c r="B492" s="2">
        <v>45753</v>
      </c>
      <c r="C492" t="s">
        <v>40</v>
      </c>
      <c r="D492" t="s">
        <v>65</v>
      </c>
      <c r="E492" t="s">
        <v>26</v>
      </c>
      <c r="F492" t="s">
        <v>43</v>
      </c>
      <c r="G492" t="s">
        <v>35</v>
      </c>
      <c r="H492" t="s">
        <v>36</v>
      </c>
      <c r="I492" s="5">
        <v>6</v>
      </c>
      <c r="J492" s="3">
        <v>32.92</v>
      </c>
      <c r="K492" s="3">
        <v>197.52</v>
      </c>
      <c r="L492" s="3">
        <v>18.04</v>
      </c>
      <c r="M492" s="3">
        <v>108.24</v>
      </c>
      <c r="N492" s="3">
        <v>89.28</v>
      </c>
      <c r="O492" s="4">
        <v>0.45200486026731468</v>
      </c>
      <c r="P492" s="3">
        <v>165000</v>
      </c>
    </row>
    <row r="493" spans="1:16">
      <c r="A493" t="s">
        <v>545</v>
      </c>
      <c r="B493" s="2">
        <v>45872</v>
      </c>
      <c r="C493" t="s">
        <v>40</v>
      </c>
      <c r="D493" t="s">
        <v>46</v>
      </c>
      <c r="E493" t="s">
        <v>42</v>
      </c>
      <c r="F493" t="s">
        <v>20</v>
      </c>
      <c r="G493" t="s">
        <v>21</v>
      </c>
      <c r="H493" t="s">
        <v>22</v>
      </c>
      <c r="I493" s="5">
        <v>3</v>
      </c>
      <c r="J493" s="3">
        <v>31.23</v>
      </c>
      <c r="K493" s="3">
        <v>93.69</v>
      </c>
      <c r="L493" s="3">
        <v>15.43</v>
      </c>
      <c r="M493" s="3">
        <v>46.29</v>
      </c>
      <c r="N493" s="3">
        <v>47.4</v>
      </c>
      <c r="O493" s="4">
        <v>0.50592379122638487</v>
      </c>
      <c r="P493" s="3">
        <v>165000</v>
      </c>
    </row>
    <row r="494" spans="1:16">
      <c r="A494" t="s">
        <v>546</v>
      </c>
      <c r="B494" s="2">
        <v>45709</v>
      </c>
      <c r="C494" t="s">
        <v>40</v>
      </c>
      <c r="D494" t="s">
        <v>65</v>
      </c>
      <c r="E494" t="s">
        <v>19</v>
      </c>
      <c r="F494" t="s">
        <v>43</v>
      </c>
      <c r="G494" t="s">
        <v>35</v>
      </c>
      <c r="H494" t="s">
        <v>58</v>
      </c>
      <c r="I494" s="5">
        <v>3</v>
      </c>
      <c r="J494" s="3">
        <v>1022.21</v>
      </c>
      <c r="K494" s="3">
        <v>3066.63</v>
      </c>
      <c r="L494" s="3">
        <v>744.38</v>
      </c>
      <c r="M494" s="3">
        <v>2233.14</v>
      </c>
      <c r="N494" s="3">
        <v>833.49</v>
      </c>
      <c r="O494" s="4">
        <v>0.27179346709580221</v>
      </c>
      <c r="P494" s="3">
        <v>165000</v>
      </c>
    </row>
    <row r="495" spans="1:16">
      <c r="A495" t="s">
        <v>547</v>
      </c>
      <c r="B495" s="2">
        <v>45900</v>
      </c>
      <c r="C495" t="s">
        <v>17</v>
      </c>
      <c r="D495" t="s">
        <v>60</v>
      </c>
      <c r="E495" t="s">
        <v>26</v>
      </c>
      <c r="F495" t="s">
        <v>20</v>
      </c>
      <c r="G495" t="s">
        <v>27</v>
      </c>
      <c r="H495" t="s">
        <v>28</v>
      </c>
      <c r="I495" s="5">
        <v>6</v>
      </c>
      <c r="J495" s="3">
        <v>193.1</v>
      </c>
      <c r="K495" s="3">
        <v>1158.5999999999999</v>
      </c>
      <c r="L495" s="3">
        <v>113.85</v>
      </c>
      <c r="M495" s="3">
        <v>683.1</v>
      </c>
      <c r="N495" s="3">
        <v>475.5</v>
      </c>
      <c r="O495" s="4">
        <v>0.41040911444847233</v>
      </c>
      <c r="P495" s="3">
        <v>140000</v>
      </c>
    </row>
    <row r="496" spans="1:16">
      <c r="A496" t="s">
        <v>548</v>
      </c>
      <c r="B496" s="2">
        <v>45945</v>
      </c>
      <c r="C496" t="s">
        <v>17</v>
      </c>
      <c r="D496" t="s">
        <v>38</v>
      </c>
      <c r="E496" t="s">
        <v>26</v>
      </c>
      <c r="F496" t="s">
        <v>20</v>
      </c>
      <c r="G496" t="s">
        <v>35</v>
      </c>
      <c r="H496" t="s">
        <v>58</v>
      </c>
      <c r="I496" s="5">
        <v>5</v>
      </c>
      <c r="J496" s="3">
        <v>954.6</v>
      </c>
      <c r="K496" s="3">
        <v>4773</v>
      </c>
      <c r="L496" s="3">
        <v>736.55</v>
      </c>
      <c r="M496" s="3">
        <v>3682.75</v>
      </c>
      <c r="N496" s="3">
        <v>1090.25</v>
      </c>
      <c r="O496" s="4">
        <v>0.22842028074586215</v>
      </c>
      <c r="P496" s="3">
        <v>140000</v>
      </c>
    </row>
    <row r="497" spans="1:16">
      <c r="A497" t="s">
        <v>549</v>
      </c>
      <c r="B497" s="2">
        <v>45888</v>
      </c>
      <c r="C497" t="s">
        <v>40</v>
      </c>
      <c r="D497" t="s">
        <v>46</v>
      </c>
      <c r="E497" t="s">
        <v>26</v>
      </c>
      <c r="F497" t="s">
        <v>50</v>
      </c>
      <c r="G497" t="s">
        <v>35</v>
      </c>
      <c r="H497" t="s">
        <v>63</v>
      </c>
      <c r="I497" s="5">
        <v>6</v>
      </c>
      <c r="J497" s="3">
        <v>235.13</v>
      </c>
      <c r="K497" s="3">
        <v>1410.78</v>
      </c>
      <c r="L497" s="3">
        <v>174.98</v>
      </c>
      <c r="M497" s="3">
        <v>1049.8800000000001</v>
      </c>
      <c r="N497" s="3">
        <v>360.9</v>
      </c>
      <c r="O497" s="4">
        <v>0.25581593161229954</v>
      </c>
      <c r="P497" s="3">
        <v>165000</v>
      </c>
    </row>
    <row r="498" spans="1:16">
      <c r="A498" t="s">
        <v>550</v>
      </c>
      <c r="B498" s="2">
        <v>46005</v>
      </c>
      <c r="C498" t="s">
        <v>33</v>
      </c>
      <c r="D498" t="s">
        <v>68</v>
      </c>
      <c r="E498" t="s">
        <v>42</v>
      </c>
      <c r="F498" t="s">
        <v>20</v>
      </c>
      <c r="G498" t="s">
        <v>35</v>
      </c>
      <c r="H498" t="s">
        <v>36</v>
      </c>
      <c r="I498" s="5">
        <v>8</v>
      </c>
      <c r="J498" s="3">
        <v>37.47</v>
      </c>
      <c r="K498" s="3">
        <v>299.76</v>
      </c>
      <c r="L498" s="3">
        <v>18.079999999999998</v>
      </c>
      <c r="M498" s="3">
        <v>144.63999999999999</v>
      </c>
      <c r="N498" s="3">
        <v>155.12</v>
      </c>
      <c r="O498" s="4">
        <v>0.51748065118761677</v>
      </c>
      <c r="P498" s="3">
        <v>155000</v>
      </c>
    </row>
    <row r="499" spans="1:16">
      <c r="A499" t="s">
        <v>551</v>
      </c>
      <c r="B499" s="2">
        <v>45698</v>
      </c>
      <c r="C499" t="s">
        <v>24</v>
      </c>
      <c r="D499" t="s">
        <v>49</v>
      </c>
      <c r="E499" t="s">
        <v>19</v>
      </c>
      <c r="F499" t="s">
        <v>43</v>
      </c>
      <c r="G499" t="s">
        <v>21</v>
      </c>
      <c r="H499" t="s">
        <v>22</v>
      </c>
      <c r="I499" s="5">
        <v>6</v>
      </c>
      <c r="J499" s="3">
        <v>27.8</v>
      </c>
      <c r="K499" s="3">
        <v>166.8</v>
      </c>
      <c r="L499" s="3">
        <v>15.32</v>
      </c>
      <c r="M499" s="3">
        <v>91.92</v>
      </c>
      <c r="N499" s="3">
        <v>74.88</v>
      </c>
      <c r="O499" s="4">
        <v>0.44892086330935244</v>
      </c>
      <c r="P499" s="3">
        <v>135000</v>
      </c>
    </row>
    <row r="500" spans="1:16">
      <c r="A500" t="s">
        <v>552</v>
      </c>
      <c r="B500" s="2">
        <v>45865</v>
      </c>
      <c r="C500" t="s">
        <v>17</v>
      </c>
      <c r="D500" t="s">
        <v>18</v>
      </c>
      <c r="E500" t="s">
        <v>26</v>
      </c>
      <c r="F500" t="s">
        <v>20</v>
      </c>
      <c r="G500" t="s">
        <v>35</v>
      </c>
      <c r="H500" t="s">
        <v>36</v>
      </c>
      <c r="I500" s="5">
        <v>5</v>
      </c>
      <c r="J500" s="3">
        <v>36.97</v>
      </c>
      <c r="K500" s="3">
        <v>184.85</v>
      </c>
      <c r="L500" s="3">
        <v>18.37</v>
      </c>
      <c r="M500" s="3">
        <v>91.85</v>
      </c>
      <c r="N500" s="3">
        <v>93</v>
      </c>
      <c r="O500" s="4">
        <v>0.50311063024073577</v>
      </c>
      <c r="P500" s="3">
        <v>140000</v>
      </c>
    </row>
    <row r="501" spans="1:16">
      <c r="A501" t="s">
        <v>553</v>
      </c>
      <c r="B501" s="2">
        <v>45860</v>
      </c>
      <c r="C501" t="s">
        <v>40</v>
      </c>
      <c r="D501" t="s">
        <v>57</v>
      </c>
      <c r="E501" t="s">
        <v>42</v>
      </c>
      <c r="F501" t="s">
        <v>43</v>
      </c>
      <c r="G501" t="s">
        <v>27</v>
      </c>
      <c r="H501" t="s">
        <v>28</v>
      </c>
      <c r="I501" s="5">
        <v>8</v>
      </c>
      <c r="J501" s="3">
        <v>178.39</v>
      </c>
      <c r="K501" s="3">
        <v>1427.12</v>
      </c>
      <c r="L501" s="3">
        <v>112.51</v>
      </c>
      <c r="M501" s="3">
        <v>900.08</v>
      </c>
      <c r="N501" s="3">
        <v>527.04</v>
      </c>
      <c r="O501" s="4">
        <v>0.36930321206345645</v>
      </c>
      <c r="P501" s="3">
        <v>165000</v>
      </c>
    </row>
    <row r="502" spans="1:16">
      <c r="A502" t="s">
        <v>554</v>
      </c>
      <c r="B502" s="2">
        <v>45669</v>
      </c>
      <c r="C502" t="s">
        <v>33</v>
      </c>
      <c r="D502" t="s">
        <v>68</v>
      </c>
      <c r="E502" t="s">
        <v>19</v>
      </c>
      <c r="F502" t="s">
        <v>43</v>
      </c>
      <c r="G502" t="s">
        <v>21</v>
      </c>
      <c r="H502" t="s">
        <v>47</v>
      </c>
      <c r="I502" s="5">
        <v>4</v>
      </c>
      <c r="J502" s="3">
        <v>39.340000000000003</v>
      </c>
      <c r="K502" s="3">
        <v>157.36000000000001</v>
      </c>
      <c r="L502" s="3">
        <v>23.29</v>
      </c>
      <c r="M502" s="3">
        <v>93.16</v>
      </c>
      <c r="N502" s="3">
        <v>64.2</v>
      </c>
      <c r="O502" s="4">
        <v>0.40798169801728518</v>
      </c>
      <c r="P502" s="3">
        <v>155000</v>
      </c>
    </row>
    <row r="503" spans="1:16">
      <c r="A503" t="s">
        <v>555</v>
      </c>
      <c r="B503" s="2">
        <v>45690</v>
      </c>
      <c r="C503" t="s">
        <v>24</v>
      </c>
      <c r="D503" t="s">
        <v>25</v>
      </c>
      <c r="E503" t="s">
        <v>26</v>
      </c>
      <c r="F503" t="s">
        <v>20</v>
      </c>
      <c r="G503" t="s">
        <v>21</v>
      </c>
      <c r="H503" t="s">
        <v>47</v>
      </c>
      <c r="I503" s="5">
        <v>2</v>
      </c>
      <c r="J503" s="3">
        <v>40.229999999999997</v>
      </c>
      <c r="K503" s="3">
        <v>80.459999999999994</v>
      </c>
      <c r="L503" s="3">
        <v>23.41</v>
      </c>
      <c r="M503" s="3">
        <v>46.82</v>
      </c>
      <c r="N503" s="3">
        <v>33.64</v>
      </c>
      <c r="O503" s="4">
        <v>0.41809594829729063</v>
      </c>
      <c r="P503" s="3">
        <v>135000</v>
      </c>
    </row>
    <row r="504" spans="1:16">
      <c r="A504" t="s">
        <v>556</v>
      </c>
      <c r="B504" s="2">
        <v>45993</v>
      </c>
      <c r="C504" t="s">
        <v>24</v>
      </c>
      <c r="D504" t="s">
        <v>49</v>
      </c>
      <c r="E504" t="s">
        <v>26</v>
      </c>
      <c r="F504" t="s">
        <v>50</v>
      </c>
      <c r="G504" t="s">
        <v>27</v>
      </c>
      <c r="H504" t="s">
        <v>55</v>
      </c>
      <c r="I504" s="5">
        <v>3</v>
      </c>
      <c r="J504" s="3">
        <v>575.91</v>
      </c>
      <c r="K504" s="3">
        <v>1727.73</v>
      </c>
      <c r="L504" s="3">
        <v>448.86</v>
      </c>
      <c r="M504" s="3">
        <v>1346.58</v>
      </c>
      <c r="N504" s="3">
        <v>381.15</v>
      </c>
      <c r="O504" s="4">
        <v>0.22060738657081835</v>
      </c>
      <c r="P504" s="3">
        <v>135000</v>
      </c>
    </row>
    <row r="505" spans="1:16">
      <c r="A505" t="s">
        <v>557</v>
      </c>
      <c r="B505" s="2">
        <v>45672</v>
      </c>
      <c r="C505" t="s">
        <v>17</v>
      </c>
      <c r="D505" t="s">
        <v>80</v>
      </c>
      <c r="E505" t="s">
        <v>42</v>
      </c>
      <c r="F505" t="s">
        <v>20</v>
      </c>
      <c r="G505" t="s">
        <v>27</v>
      </c>
      <c r="H505" t="s">
        <v>55</v>
      </c>
      <c r="I505" s="5">
        <v>8</v>
      </c>
      <c r="J505" s="3">
        <v>690.99</v>
      </c>
      <c r="K505" s="3">
        <v>5527.92</v>
      </c>
      <c r="L505" s="3">
        <v>436.05</v>
      </c>
      <c r="M505" s="3">
        <v>3488.4</v>
      </c>
      <c r="N505" s="3">
        <v>2039.52</v>
      </c>
      <c r="O505" s="4">
        <v>0.3689488994052012</v>
      </c>
      <c r="P505" s="3">
        <v>140000</v>
      </c>
    </row>
    <row r="506" spans="1:16">
      <c r="A506" t="s">
        <v>558</v>
      </c>
      <c r="B506" s="2">
        <v>45797</v>
      </c>
      <c r="C506" t="s">
        <v>24</v>
      </c>
      <c r="D506" t="s">
        <v>30</v>
      </c>
      <c r="E506" t="s">
        <v>42</v>
      </c>
      <c r="F506" t="s">
        <v>50</v>
      </c>
      <c r="G506" t="s">
        <v>21</v>
      </c>
      <c r="H506" t="s">
        <v>22</v>
      </c>
      <c r="I506" s="5">
        <v>8</v>
      </c>
      <c r="J506" s="3">
        <v>29.09</v>
      </c>
      <c r="K506" s="3">
        <v>232.72</v>
      </c>
      <c r="L506" s="3">
        <v>15.35</v>
      </c>
      <c r="M506" s="3">
        <v>122.8</v>
      </c>
      <c r="N506" s="3">
        <v>109.92</v>
      </c>
      <c r="O506" s="4">
        <v>0.4723272602268821</v>
      </c>
      <c r="P506" s="3">
        <v>135000</v>
      </c>
    </row>
    <row r="507" spans="1:16">
      <c r="A507" t="s">
        <v>559</v>
      </c>
      <c r="B507" s="2">
        <v>45946</v>
      </c>
      <c r="C507" t="s">
        <v>24</v>
      </c>
      <c r="D507" t="s">
        <v>49</v>
      </c>
      <c r="E507" t="s">
        <v>42</v>
      </c>
      <c r="F507" t="s">
        <v>50</v>
      </c>
      <c r="G507" t="s">
        <v>35</v>
      </c>
      <c r="H507" t="s">
        <v>58</v>
      </c>
      <c r="I507" s="5">
        <v>2</v>
      </c>
      <c r="J507" s="3">
        <v>947.35</v>
      </c>
      <c r="K507" s="3">
        <v>1894.7</v>
      </c>
      <c r="L507" s="3">
        <v>717.54</v>
      </c>
      <c r="M507" s="3">
        <v>1435.08</v>
      </c>
      <c r="N507" s="3">
        <v>459.62</v>
      </c>
      <c r="O507" s="4">
        <v>0.24258193909326015</v>
      </c>
      <c r="P507" s="3">
        <v>135000</v>
      </c>
    </row>
    <row r="508" spans="1:16">
      <c r="A508" t="s">
        <v>560</v>
      </c>
      <c r="B508" s="2">
        <v>45791</v>
      </c>
      <c r="C508" t="s">
        <v>33</v>
      </c>
      <c r="D508" t="s">
        <v>34</v>
      </c>
      <c r="E508" t="s">
        <v>26</v>
      </c>
      <c r="F508" t="s">
        <v>50</v>
      </c>
      <c r="G508" t="s">
        <v>21</v>
      </c>
      <c r="H508" t="s">
        <v>22</v>
      </c>
      <c r="I508" s="5">
        <v>6</v>
      </c>
      <c r="J508" s="3">
        <v>26.97</v>
      </c>
      <c r="K508" s="3">
        <v>161.82</v>
      </c>
      <c r="L508" s="3">
        <v>15.2</v>
      </c>
      <c r="M508" s="3">
        <v>91.2</v>
      </c>
      <c r="N508" s="3">
        <v>70.62</v>
      </c>
      <c r="O508" s="4">
        <v>0.43641082684464222</v>
      </c>
      <c r="P508" s="3">
        <v>155000</v>
      </c>
    </row>
    <row r="509" spans="1:16">
      <c r="A509" t="s">
        <v>561</v>
      </c>
      <c r="B509" s="2">
        <v>46010</v>
      </c>
      <c r="C509" t="s">
        <v>24</v>
      </c>
      <c r="D509" t="s">
        <v>74</v>
      </c>
      <c r="E509" t="s">
        <v>26</v>
      </c>
      <c r="F509" t="s">
        <v>50</v>
      </c>
      <c r="G509" t="s">
        <v>35</v>
      </c>
      <c r="H509" t="s">
        <v>63</v>
      </c>
      <c r="I509" s="5">
        <v>4</v>
      </c>
      <c r="J509" s="3">
        <v>279.58</v>
      </c>
      <c r="K509" s="3">
        <v>1118.32</v>
      </c>
      <c r="L509" s="3">
        <v>182.67</v>
      </c>
      <c r="M509" s="3">
        <v>730.68</v>
      </c>
      <c r="N509" s="3">
        <v>387.64</v>
      </c>
      <c r="O509" s="4">
        <v>0.34662708348236643</v>
      </c>
      <c r="P509" s="3">
        <v>135000</v>
      </c>
    </row>
    <row r="510" spans="1:16">
      <c r="A510" t="s">
        <v>562</v>
      </c>
      <c r="B510" s="2">
        <v>45754</v>
      </c>
      <c r="C510" t="s">
        <v>24</v>
      </c>
      <c r="D510" t="s">
        <v>74</v>
      </c>
      <c r="E510" t="s">
        <v>26</v>
      </c>
      <c r="F510" t="s">
        <v>20</v>
      </c>
      <c r="G510" t="s">
        <v>27</v>
      </c>
      <c r="H510" t="s">
        <v>44</v>
      </c>
      <c r="I510" s="5">
        <v>7</v>
      </c>
      <c r="J510" s="3">
        <v>303.52999999999997</v>
      </c>
      <c r="K510" s="3">
        <v>2124.71</v>
      </c>
      <c r="L510" s="3">
        <v>203.26</v>
      </c>
      <c r="M510" s="3">
        <v>1422.82</v>
      </c>
      <c r="N510" s="3">
        <v>701.89</v>
      </c>
      <c r="O510" s="4">
        <v>0.33034625901887787</v>
      </c>
      <c r="P510" s="3">
        <v>135000</v>
      </c>
    </row>
    <row r="511" spans="1:16">
      <c r="A511" t="s">
        <v>563</v>
      </c>
      <c r="B511" s="2">
        <v>45978</v>
      </c>
      <c r="C511" t="s">
        <v>33</v>
      </c>
      <c r="D511" t="s">
        <v>34</v>
      </c>
      <c r="E511" t="s">
        <v>26</v>
      </c>
      <c r="F511" t="s">
        <v>50</v>
      </c>
      <c r="G511" t="s">
        <v>35</v>
      </c>
      <c r="H511" t="s">
        <v>63</v>
      </c>
      <c r="I511" s="5">
        <v>7</v>
      </c>
      <c r="J511" s="3">
        <v>244.75</v>
      </c>
      <c r="K511" s="3">
        <v>1713.25</v>
      </c>
      <c r="L511" s="3">
        <v>174.03</v>
      </c>
      <c r="M511" s="3">
        <v>1218.21</v>
      </c>
      <c r="N511" s="3">
        <v>495.04</v>
      </c>
      <c r="O511" s="4">
        <v>0.28894790602655773</v>
      </c>
      <c r="P511" s="3">
        <v>155000</v>
      </c>
    </row>
    <row r="512" spans="1:16">
      <c r="A512" t="s">
        <v>564</v>
      </c>
      <c r="B512" s="2">
        <v>45727</v>
      </c>
      <c r="C512" t="s">
        <v>40</v>
      </c>
      <c r="D512" t="s">
        <v>41</v>
      </c>
      <c r="E512" t="s">
        <v>19</v>
      </c>
      <c r="F512" t="s">
        <v>50</v>
      </c>
      <c r="G512" t="s">
        <v>35</v>
      </c>
      <c r="H512" t="s">
        <v>63</v>
      </c>
      <c r="I512" s="5">
        <v>8</v>
      </c>
      <c r="J512" s="3">
        <v>244.74</v>
      </c>
      <c r="K512" s="3">
        <v>1957.92</v>
      </c>
      <c r="L512" s="3">
        <v>173.15</v>
      </c>
      <c r="M512" s="3">
        <v>1385.2</v>
      </c>
      <c r="N512" s="3">
        <v>572.72</v>
      </c>
      <c r="O512" s="4">
        <v>0.29251450518918037</v>
      </c>
      <c r="P512" s="3">
        <v>165000</v>
      </c>
    </row>
    <row r="513" spans="1:16">
      <c r="A513" t="s">
        <v>565</v>
      </c>
      <c r="B513" s="2">
        <v>45683</v>
      </c>
      <c r="C513" t="s">
        <v>17</v>
      </c>
      <c r="D513" t="s">
        <v>60</v>
      </c>
      <c r="E513" t="s">
        <v>42</v>
      </c>
      <c r="F513" t="s">
        <v>20</v>
      </c>
      <c r="G513" t="s">
        <v>21</v>
      </c>
      <c r="H513" t="s">
        <v>22</v>
      </c>
      <c r="I513" s="5">
        <v>8</v>
      </c>
      <c r="J513" s="3">
        <v>29.68</v>
      </c>
      <c r="K513" s="3">
        <v>237.44</v>
      </c>
      <c r="L513" s="3">
        <v>14.75</v>
      </c>
      <c r="M513" s="3">
        <v>118</v>
      </c>
      <c r="N513" s="3">
        <v>119.44</v>
      </c>
      <c r="O513" s="4">
        <v>0.50303234501347704</v>
      </c>
      <c r="P513" s="3">
        <v>140000</v>
      </c>
    </row>
    <row r="514" spans="1:16">
      <c r="A514" t="s">
        <v>566</v>
      </c>
      <c r="B514" s="2">
        <v>45735</v>
      </c>
      <c r="C514" t="s">
        <v>17</v>
      </c>
      <c r="D514" t="s">
        <v>38</v>
      </c>
      <c r="E514" t="s">
        <v>26</v>
      </c>
      <c r="F514" t="s">
        <v>20</v>
      </c>
      <c r="G514" t="s">
        <v>27</v>
      </c>
      <c r="H514" t="s">
        <v>55</v>
      </c>
      <c r="I514" s="5">
        <v>6</v>
      </c>
      <c r="J514" s="3">
        <v>621.25</v>
      </c>
      <c r="K514" s="3">
        <v>3727.5</v>
      </c>
      <c r="L514" s="3">
        <v>446.83</v>
      </c>
      <c r="M514" s="3">
        <v>2680.98</v>
      </c>
      <c r="N514" s="3">
        <v>1046.52</v>
      </c>
      <c r="O514" s="4">
        <v>0.28075653923541249</v>
      </c>
      <c r="P514" s="3">
        <v>140000</v>
      </c>
    </row>
    <row r="515" spans="1:16">
      <c r="A515" t="s">
        <v>567</v>
      </c>
      <c r="B515" s="2">
        <v>45827</v>
      </c>
      <c r="C515" t="s">
        <v>17</v>
      </c>
      <c r="D515" t="s">
        <v>60</v>
      </c>
      <c r="E515" t="s">
        <v>26</v>
      </c>
      <c r="F515" t="s">
        <v>50</v>
      </c>
      <c r="G515" t="s">
        <v>21</v>
      </c>
      <c r="H515" t="s">
        <v>47</v>
      </c>
      <c r="I515" s="5">
        <v>8</v>
      </c>
      <c r="J515" s="3">
        <v>39.479999999999997</v>
      </c>
      <c r="K515" s="3">
        <v>315.83999999999997</v>
      </c>
      <c r="L515" s="3">
        <v>25.19</v>
      </c>
      <c r="M515" s="3">
        <v>201.52</v>
      </c>
      <c r="N515" s="3">
        <v>114.32</v>
      </c>
      <c r="O515" s="4">
        <v>0.36195542046605877</v>
      </c>
      <c r="P515" s="3">
        <v>140000</v>
      </c>
    </row>
    <row r="516" spans="1:16">
      <c r="A516" t="s">
        <v>568</v>
      </c>
      <c r="B516" s="2">
        <v>45786</v>
      </c>
      <c r="C516" t="s">
        <v>24</v>
      </c>
      <c r="D516" t="s">
        <v>25</v>
      </c>
      <c r="E516" t="s">
        <v>26</v>
      </c>
      <c r="F516" t="s">
        <v>50</v>
      </c>
      <c r="G516" t="s">
        <v>35</v>
      </c>
      <c r="H516" t="s">
        <v>58</v>
      </c>
      <c r="I516" s="5">
        <v>7</v>
      </c>
      <c r="J516" s="3">
        <v>1016.19</v>
      </c>
      <c r="K516" s="3">
        <v>7113.33</v>
      </c>
      <c r="L516" s="3">
        <v>723.09</v>
      </c>
      <c r="M516" s="3">
        <v>5061.63</v>
      </c>
      <c r="N516" s="3">
        <v>2051.6999999999998</v>
      </c>
      <c r="O516" s="4">
        <v>0.28843031322882529</v>
      </c>
      <c r="P516" s="3">
        <v>135000</v>
      </c>
    </row>
    <row r="517" spans="1:16">
      <c r="A517" t="s">
        <v>569</v>
      </c>
      <c r="B517" s="2">
        <v>45675</v>
      </c>
      <c r="C517" t="s">
        <v>33</v>
      </c>
      <c r="D517" t="s">
        <v>54</v>
      </c>
      <c r="E517" t="s">
        <v>19</v>
      </c>
      <c r="F517" t="s">
        <v>20</v>
      </c>
      <c r="G517" t="s">
        <v>35</v>
      </c>
      <c r="H517" t="s">
        <v>58</v>
      </c>
      <c r="I517" s="5">
        <v>8</v>
      </c>
      <c r="J517" s="3">
        <v>936.33</v>
      </c>
      <c r="K517" s="3">
        <v>7490.64</v>
      </c>
      <c r="L517" s="3">
        <v>760.41</v>
      </c>
      <c r="M517" s="3">
        <v>6083.28</v>
      </c>
      <c r="N517" s="3">
        <v>1407.36</v>
      </c>
      <c r="O517" s="4">
        <v>0.18788247733170996</v>
      </c>
      <c r="P517" s="3">
        <v>155000</v>
      </c>
    </row>
    <row r="518" spans="1:16">
      <c r="A518" t="s">
        <v>570</v>
      </c>
      <c r="B518" s="2">
        <v>45823</v>
      </c>
      <c r="C518" t="s">
        <v>33</v>
      </c>
      <c r="D518" t="s">
        <v>52</v>
      </c>
      <c r="E518" t="s">
        <v>19</v>
      </c>
      <c r="F518" t="s">
        <v>50</v>
      </c>
      <c r="G518" t="s">
        <v>21</v>
      </c>
      <c r="H518" t="s">
        <v>47</v>
      </c>
      <c r="I518" s="5">
        <v>5</v>
      </c>
      <c r="J518" s="3">
        <v>42.25</v>
      </c>
      <c r="K518" s="3">
        <v>211.25</v>
      </c>
      <c r="L518" s="3">
        <v>23.76</v>
      </c>
      <c r="M518" s="3">
        <v>118.8</v>
      </c>
      <c r="N518" s="3">
        <v>92.45</v>
      </c>
      <c r="O518" s="4">
        <v>0.43763313609467458</v>
      </c>
      <c r="P518" s="3">
        <v>155000</v>
      </c>
    </row>
    <row r="519" spans="1:16">
      <c r="A519" t="s">
        <v>571</v>
      </c>
      <c r="B519" s="2">
        <v>45842</v>
      </c>
      <c r="C519" t="s">
        <v>17</v>
      </c>
      <c r="D519" t="s">
        <v>60</v>
      </c>
      <c r="E519" t="s">
        <v>42</v>
      </c>
      <c r="F519" t="s">
        <v>20</v>
      </c>
      <c r="G519" t="s">
        <v>27</v>
      </c>
      <c r="H519" t="s">
        <v>44</v>
      </c>
      <c r="I519" s="5">
        <v>6</v>
      </c>
      <c r="J519" s="3">
        <v>289.06</v>
      </c>
      <c r="K519" s="3">
        <v>1734.36</v>
      </c>
      <c r="L519" s="3">
        <v>218.28</v>
      </c>
      <c r="M519" s="3">
        <v>1309.68</v>
      </c>
      <c r="N519" s="3">
        <v>424.68</v>
      </c>
      <c r="O519" s="4">
        <v>0.24486265827163911</v>
      </c>
      <c r="P519" s="3">
        <v>140000</v>
      </c>
    </row>
    <row r="520" spans="1:16">
      <c r="A520" t="s">
        <v>572</v>
      </c>
      <c r="B520" s="2">
        <v>45957</v>
      </c>
      <c r="C520" t="s">
        <v>17</v>
      </c>
      <c r="D520" t="s">
        <v>38</v>
      </c>
      <c r="E520" t="s">
        <v>42</v>
      </c>
      <c r="F520" t="s">
        <v>20</v>
      </c>
      <c r="G520" t="s">
        <v>21</v>
      </c>
      <c r="H520" t="s">
        <v>31</v>
      </c>
      <c r="I520" s="5">
        <v>8</v>
      </c>
      <c r="J520" s="3">
        <v>12.62</v>
      </c>
      <c r="K520" s="3">
        <v>100.96</v>
      </c>
      <c r="L520" s="3">
        <v>5.85</v>
      </c>
      <c r="M520" s="3">
        <v>46.8</v>
      </c>
      <c r="N520" s="3">
        <v>54.16</v>
      </c>
      <c r="O520" s="4">
        <v>0.53645007923930266</v>
      </c>
      <c r="P520" s="3">
        <v>140000</v>
      </c>
    </row>
    <row r="521" spans="1:16">
      <c r="A521" t="s">
        <v>573</v>
      </c>
      <c r="B521" s="2">
        <v>45703</v>
      </c>
      <c r="C521" t="s">
        <v>33</v>
      </c>
      <c r="D521" t="s">
        <v>68</v>
      </c>
      <c r="E521" t="s">
        <v>19</v>
      </c>
      <c r="F521" t="s">
        <v>50</v>
      </c>
      <c r="G521" t="s">
        <v>35</v>
      </c>
      <c r="H521" t="s">
        <v>36</v>
      </c>
      <c r="I521" s="5">
        <v>1</v>
      </c>
      <c r="J521" s="3">
        <v>31.96</v>
      </c>
      <c r="K521" s="3">
        <v>31.96</v>
      </c>
      <c r="L521" s="3">
        <v>18.440000000000001</v>
      </c>
      <c r="M521" s="3">
        <v>18.440000000000001</v>
      </c>
      <c r="N521" s="3">
        <v>13.52</v>
      </c>
      <c r="O521" s="4">
        <v>0.42302878598247806</v>
      </c>
      <c r="P521" s="3">
        <v>155000</v>
      </c>
    </row>
    <row r="522" spans="1:16">
      <c r="A522" t="s">
        <v>574</v>
      </c>
      <c r="B522" s="2">
        <v>46017</v>
      </c>
      <c r="C522" t="s">
        <v>17</v>
      </c>
      <c r="D522" t="s">
        <v>60</v>
      </c>
      <c r="E522" t="s">
        <v>19</v>
      </c>
      <c r="F522" t="s">
        <v>20</v>
      </c>
      <c r="G522" t="s">
        <v>27</v>
      </c>
      <c r="H522" t="s">
        <v>28</v>
      </c>
      <c r="I522" s="5">
        <v>6</v>
      </c>
      <c r="J522" s="3">
        <v>193.9</v>
      </c>
      <c r="K522" s="3">
        <v>1163.4000000000001</v>
      </c>
      <c r="L522" s="3">
        <v>115.45</v>
      </c>
      <c r="M522" s="3">
        <v>692.7</v>
      </c>
      <c r="N522" s="3">
        <v>470.7</v>
      </c>
      <c r="O522" s="4">
        <v>0.40458999484270236</v>
      </c>
      <c r="P522" s="3">
        <v>140000</v>
      </c>
    </row>
    <row r="523" spans="1:16">
      <c r="A523" t="s">
        <v>575</v>
      </c>
      <c r="B523" s="2">
        <v>45756</v>
      </c>
      <c r="C523" t="s">
        <v>17</v>
      </c>
      <c r="D523" t="s">
        <v>38</v>
      </c>
      <c r="E523" t="s">
        <v>26</v>
      </c>
      <c r="F523" t="s">
        <v>20</v>
      </c>
      <c r="G523" t="s">
        <v>21</v>
      </c>
      <c r="H523" t="s">
        <v>31</v>
      </c>
      <c r="I523" s="5">
        <v>8</v>
      </c>
      <c r="J523" s="3">
        <v>12.67</v>
      </c>
      <c r="K523" s="3">
        <v>101.36</v>
      </c>
      <c r="L523" s="3">
        <v>6.1</v>
      </c>
      <c r="M523" s="3">
        <v>48.8</v>
      </c>
      <c r="N523" s="3">
        <v>52.56</v>
      </c>
      <c r="O523" s="4">
        <v>0.51854775059194946</v>
      </c>
      <c r="P523" s="3">
        <v>140000</v>
      </c>
    </row>
    <row r="524" spans="1:16">
      <c r="A524" t="s">
        <v>576</v>
      </c>
      <c r="B524" s="2">
        <v>45935</v>
      </c>
      <c r="C524" t="s">
        <v>24</v>
      </c>
      <c r="D524" t="s">
        <v>30</v>
      </c>
      <c r="E524" t="s">
        <v>19</v>
      </c>
      <c r="F524" t="s">
        <v>50</v>
      </c>
      <c r="G524" t="s">
        <v>35</v>
      </c>
      <c r="H524" t="s">
        <v>36</v>
      </c>
      <c r="I524" s="5">
        <v>8</v>
      </c>
      <c r="J524" s="3">
        <v>33.619999999999997</v>
      </c>
      <c r="K524" s="3">
        <v>268.95999999999998</v>
      </c>
      <c r="L524" s="3">
        <v>18.78</v>
      </c>
      <c r="M524" s="3">
        <v>150.24</v>
      </c>
      <c r="N524" s="3">
        <v>118.72</v>
      </c>
      <c r="O524" s="4">
        <v>0.44140392623438435</v>
      </c>
      <c r="P524" s="3">
        <v>135000</v>
      </c>
    </row>
    <row r="525" spans="1:16">
      <c r="A525" t="s">
        <v>577</v>
      </c>
      <c r="B525" s="2">
        <v>45941</v>
      </c>
      <c r="C525" t="s">
        <v>33</v>
      </c>
      <c r="D525" t="s">
        <v>52</v>
      </c>
      <c r="E525" t="s">
        <v>19</v>
      </c>
      <c r="F525" t="s">
        <v>20</v>
      </c>
      <c r="G525" t="s">
        <v>35</v>
      </c>
      <c r="H525" t="s">
        <v>63</v>
      </c>
      <c r="I525" s="5">
        <v>6</v>
      </c>
      <c r="J525" s="3">
        <v>259.97000000000003</v>
      </c>
      <c r="K525" s="3">
        <v>1559.82</v>
      </c>
      <c r="L525" s="3">
        <v>186.77</v>
      </c>
      <c r="M525" s="3">
        <v>1120.6199999999999</v>
      </c>
      <c r="N525" s="3">
        <v>439.2</v>
      </c>
      <c r="O525" s="4">
        <v>0.28157095049428782</v>
      </c>
      <c r="P525" s="3">
        <v>155000</v>
      </c>
    </row>
    <row r="526" spans="1:16">
      <c r="A526" t="s">
        <v>578</v>
      </c>
      <c r="B526" s="2">
        <v>45917</v>
      </c>
      <c r="C526" t="s">
        <v>24</v>
      </c>
      <c r="D526" t="s">
        <v>30</v>
      </c>
      <c r="E526" t="s">
        <v>42</v>
      </c>
      <c r="F526" t="s">
        <v>50</v>
      </c>
      <c r="G526" t="s">
        <v>35</v>
      </c>
      <c r="H526" t="s">
        <v>36</v>
      </c>
      <c r="I526" s="5">
        <v>4</v>
      </c>
      <c r="J526" s="3">
        <v>33.97</v>
      </c>
      <c r="K526" s="3">
        <v>135.88</v>
      </c>
      <c r="L526" s="3">
        <v>17.39</v>
      </c>
      <c r="M526" s="3">
        <v>69.56</v>
      </c>
      <c r="N526" s="3">
        <v>66.319999999999993</v>
      </c>
      <c r="O526" s="4">
        <v>0.48807771563143948</v>
      </c>
      <c r="P526" s="3">
        <v>135000</v>
      </c>
    </row>
    <row r="527" spans="1:16">
      <c r="A527" t="s">
        <v>579</v>
      </c>
      <c r="B527" s="2">
        <v>45933</v>
      </c>
      <c r="C527" t="s">
        <v>24</v>
      </c>
      <c r="D527" t="s">
        <v>30</v>
      </c>
      <c r="E527" t="s">
        <v>19</v>
      </c>
      <c r="F527" t="s">
        <v>50</v>
      </c>
      <c r="G527" t="s">
        <v>27</v>
      </c>
      <c r="H527" t="s">
        <v>28</v>
      </c>
      <c r="I527" s="5">
        <v>3</v>
      </c>
      <c r="J527" s="3">
        <v>186.28</v>
      </c>
      <c r="K527" s="3">
        <v>558.84</v>
      </c>
      <c r="L527" s="3">
        <v>114.11</v>
      </c>
      <c r="M527" s="3">
        <v>342.33</v>
      </c>
      <c r="N527" s="3">
        <v>216.51</v>
      </c>
      <c r="O527" s="4">
        <v>0.38742752845179296</v>
      </c>
      <c r="P527" s="3">
        <v>135000</v>
      </c>
    </row>
    <row r="528" spans="1:16">
      <c r="A528" t="s">
        <v>580</v>
      </c>
      <c r="B528" s="2">
        <v>45986</v>
      </c>
      <c r="C528" t="s">
        <v>40</v>
      </c>
      <c r="D528" t="s">
        <v>41</v>
      </c>
      <c r="E528" t="s">
        <v>26</v>
      </c>
      <c r="F528" t="s">
        <v>50</v>
      </c>
      <c r="G528" t="s">
        <v>21</v>
      </c>
      <c r="H528" t="s">
        <v>31</v>
      </c>
      <c r="I528" s="5">
        <v>3</v>
      </c>
      <c r="J528" s="3">
        <v>11.27</v>
      </c>
      <c r="K528" s="3">
        <v>33.81</v>
      </c>
      <c r="L528" s="3">
        <v>5.78</v>
      </c>
      <c r="M528" s="3">
        <v>17.34</v>
      </c>
      <c r="N528" s="3">
        <v>16.47</v>
      </c>
      <c r="O528" s="4">
        <v>0.48713398402839392</v>
      </c>
      <c r="P528" s="3">
        <v>165000</v>
      </c>
    </row>
    <row r="529" spans="1:16">
      <c r="A529" t="s">
        <v>581</v>
      </c>
      <c r="B529" s="2">
        <v>45712</v>
      </c>
      <c r="C529" t="s">
        <v>24</v>
      </c>
      <c r="D529" t="s">
        <v>30</v>
      </c>
      <c r="E529" t="s">
        <v>26</v>
      </c>
      <c r="F529" t="s">
        <v>50</v>
      </c>
      <c r="G529" t="s">
        <v>27</v>
      </c>
      <c r="H529" t="s">
        <v>44</v>
      </c>
      <c r="I529" s="5">
        <v>8</v>
      </c>
      <c r="J529" s="3">
        <v>325.02</v>
      </c>
      <c r="K529" s="3">
        <v>2600.16</v>
      </c>
      <c r="L529" s="3">
        <v>216.33</v>
      </c>
      <c r="M529" s="3">
        <v>1730.64</v>
      </c>
      <c r="N529" s="3">
        <v>869.52</v>
      </c>
      <c r="O529" s="4">
        <v>0.33441019014214513</v>
      </c>
      <c r="P529" s="3">
        <v>135000</v>
      </c>
    </row>
    <row r="530" spans="1:16">
      <c r="A530" t="s">
        <v>582</v>
      </c>
      <c r="B530" s="2">
        <v>45789</v>
      </c>
      <c r="C530" t="s">
        <v>17</v>
      </c>
      <c r="D530" t="s">
        <v>80</v>
      </c>
      <c r="E530" t="s">
        <v>26</v>
      </c>
      <c r="F530" t="s">
        <v>50</v>
      </c>
      <c r="G530" t="s">
        <v>21</v>
      </c>
      <c r="H530" t="s">
        <v>31</v>
      </c>
      <c r="I530" s="5">
        <v>4</v>
      </c>
      <c r="J530" s="3">
        <v>12.53</v>
      </c>
      <c r="K530" s="3">
        <v>50.12</v>
      </c>
      <c r="L530" s="3">
        <v>6.32</v>
      </c>
      <c r="M530" s="3">
        <v>25.28</v>
      </c>
      <c r="N530" s="3">
        <v>24.84</v>
      </c>
      <c r="O530" s="4">
        <v>0.49561053471667998</v>
      </c>
      <c r="P530" s="3">
        <v>140000</v>
      </c>
    </row>
    <row r="531" spans="1:16">
      <c r="A531" t="s">
        <v>583</v>
      </c>
      <c r="B531" s="2">
        <v>45698</v>
      </c>
      <c r="C531" t="s">
        <v>24</v>
      </c>
      <c r="D531" t="s">
        <v>25</v>
      </c>
      <c r="E531" t="s">
        <v>26</v>
      </c>
      <c r="F531" t="s">
        <v>50</v>
      </c>
      <c r="G531" t="s">
        <v>27</v>
      </c>
      <c r="H531" t="s">
        <v>44</v>
      </c>
      <c r="I531" s="5">
        <v>6</v>
      </c>
      <c r="J531" s="3">
        <v>343.92</v>
      </c>
      <c r="K531" s="3">
        <v>2063.52</v>
      </c>
      <c r="L531" s="3">
        <v>202.82</v>
      </c>
      <c r="M531" s="3">
        <v>1216.92</v>
      </c>
      <c r="N531" s="3">
        <v>846.6</v>
      </c>
      <c r="O531" s="4">
        <v>0.41026983019306817</v>
      </c>
      <c r="P531" s="3">
        <v>135000</v>
      </c>
    </row>
    <row r="532" spans="1:16">
      <c r="A532" t="s">
        <v>584</v>
      </c>
      <c r="B532" s="2">
        <v>45973</v>
      </c>
      <c r="C532" t="s">
        <v>40</v>
      </c>
      <c r="D532" t="s">
        <v>41</v>
      </c>
      <c r="E532" t="s">
        <v>19</v>
      </c>
      <c r="F532" t="s">
        <v>43</v>
      </c>
      <c r="G532" t="s">
        <v>21</v>
      </c>
      <c r="H532" t="s">
        <v>47</v>
      </c>
      <c r="I532" s="5">
        <v>4</v>
      </c>
      <c r="J532" s="3">
        <v>46.68</v>
      </c>
      <c r="K532" s="3">
        <v>186.72</v>
      </c>
      <c r="L532" s="3">
        <v>23.27</v>
      </c>
      <c r="M532" s="3">
        <v>93.08</v>
      </c>
      <c r="N532" s="3">
        <v>93.64</v>
      </c>
      <c r="O532" s="4">
        <v>0.50149957155098546</v>
      </c>
      <c r="P532" s="3">
        <v>165000</v>
      </c>
    </row>
    <row r="533" spans="1:16">
      <c r="A533" t="s">
        <v>585</v>
      </c>
      <c r="B533" s="2">
        <v>45776</v>
      </c>
      <c r="C533" t="s">
        <v>24</v>
      </c>
      <c r="D533" t="s">
        <v>30</v>
      </c>
      <c r="E533" t="s">
        <v>26</v>
      </c>
      <c r="F533" t="s">
        <v>50</v>
      </c>
      <c r="G533" t="s">
        <v>21</v>
      </c>
      <c r="H533" t="s">
        <v>22</v>
      </c>
      <c r="I533" s="5">
        <v>7</v>
      </c>
      <c r="J533" s="3">
        <v>29.8</v>
      </c>
      <c r="K533" s="3">
        <v>208.6</v>
      </c>
      <c r="L533" s="3">
        <v>15.55</v>
      </c>
      <c r="M533" s="3">
        <v>108.85</v>
      </c>
      <c r="N533" s="3">
        <v>99.75</v>
      </c>
      <c r="O533" s="4">
        <v>0.47818791946308725</v>
      </c>
      <c r="P533" s="3">
        <v>135000</v>
      </c>
    </row>
    <row r="534" spans="1:16">
      <c r="A534" t="s">
        <v>586</v>
      </c>
      <c r="B534" s="2">
        <v>45953</v>
      </c>
      <c r="C534" t="s">
        <v>40</v>
      </c>
      <c r="D534" t="s">
        <v>57</v>
      </c>
      <c r="E534" t="s">
        <v>19</v>
      </c>
      <c r="F534" t="s">
        <v>20</v>
      </c>
      <c r="G534" t="s">
        <v>21</v>
      </c>
      <c r="H534" t="s">
        <v>47</v>
      </c>
      <c r="I534" s="5">
        <v>3</v>
      </c>
      <c r="J534" s="3">
        <v>45.12</v>
      </c>
      <c r="K534" s="3">
        <v>135.36000000000001</v>
      </c>
      <c r="L534" s="3">
        <v>24.36</v>
      </c>
      <c r="M534" s="3">
        <v>73.08</v>
      </c>
      <c r="N534" s="3">
        <v>62.28</v>
      </c>
      <c r="O534" s="4">
        <v>0.46010638297872336</v>
      </c>
      <c r="P534" s="3">
        <v>165000</v>
      </c>
    </row>
    <row r="535" spans="1:16">
      <c r="A535" t="s">
        <v>587</v>
      </c>
      <c r="B535" s="2">
        <v>45916</v>
      </c>
      <c r="C535" t="s">
        <v>40</v>
      </c>
      <c r="D535" t="s">
        <v>65</v>
      </c>
      <c r="E535" t="s">
        <v>19</v>
      </c>
      <c r="F535" t="s">
        <v>50</v>
      </c>
      <c r="G535" t="s">
        <v>35</v>
      </c>
      <c r="H535" t="s">
        <v>36</v>
      </c>
      <c r="I535" s="5">
        <v>6</v>
      </c>
      <c r="J535" s="3">
        <v>35.74</v>
      </c>
      <c r="K535" s="3">
        <v>214.44</v>
      </c>
      <c r="L535" s="3">
        <v>19.07</v>
      </c>
      <c r="M535" s="3">
        <v>114.42</v>
      </c>
      <c r="N535" s="3">
        <v>100.02</v>
      </c>
      <c r="O535" s="4">
        <v>0.46642417459429208</v>
      </c>
      <c r="P535" s="3">
        <v>165000</v>
      </c>
    </row>
    <row r="536" spans="1:16">
      <c r="A536" t="s">
        <v>588</v>
      </c>
      <c r="B536" s="2">
        <v>45848</v>
      </c>
      <c r="C536" t="s">
        <v>24</v>
      </c>
      <c r="D536" t="s">
        <v>74</v>
      </c>
      <c r="E536" t="s">
        <v>42</v>
      </c>
      <c r="F536" t="s">
        <v>20</v>
      </c>
      <c r="G536" t="s">
        <v>35</v>
      </c>
      <c r="H536" t="s">
        <v>58</v>
      </c>
      <c r="I536" s="5">
        <v>4</v>
      </c>
      <c r="J536" s="3">
        <v>933.39</v>
      </c>
      <c r="K536" s="3">
        <v>3733.56</v>
      </c>
      <c r="L536" s="3">
        <v>730.82</v>
      </c>
      <c r="M536" s="3">
        <v>2923.28</v>
      </c>
      <c r="N536" s="3">
        <v>810.28</v>
      </c>
      <c r="O536" s="4">
        <v>0.2170261091290886</v>
      </c>
      <c r="P536" s="3">
        <v>135000</v>
      </c>
    </row>
    <row r="537" spans="1:16">
      <c r="A537" t="s">
        <v>589</v>
      </c>
      <c r="B537" s="2">
        <v>45788</v>
      </c>
      <c r="C537" t="s">
        <v>40</v>
      </c>
      <c r="D537" t="s">
        <v>57</v>
      </c>
      <c r="E537" t="s">
        <v>26</v>
      </c>
      <c r="F537" t="s">
        <v>20</v>
      </c>
      <c r="G537" t="s">
        <v>21</v>
      </c>
      <c r="H537" t="s">
        <v>31</v>
      </c>
      <c r="I537" s="5">
        <v>5</v>
      </c>
      <c r="J537" s="3">
        <v>12.37</v>
      </c>
      <c r="K537" s="3">
        <v>61.85</v>
      </c>
      <c r="L537" s="3">
        <v>6.07</v>
      </c>
      <c r="M537" s="3">
        <v>30.35</v>
      </c>
      <c r="N537" s="3">
        <v>31.5</v>
      </c>
      <c r="O537" s="4">
        <v>0.50929668552950691</v>
      </c>
      <c r="P537" s="3">
        <v>165000</v>
      </c>
    </row>
    <row r="538" spans="1:16">
      <c r="A538" t="s">
        <v>590</v>
      </c>
      <c r="B538" s="2">
        <v>45812</v>
      </c>
      <c r="C538" t="s">
        <v>17</v>
      </c>
      <c r="D538" t="s">
        <v>80</v>
      </c>
      <c r="E538" t="s">
        <v>42</v>
      </c>
      <c r="F538" t="s">
        <v>20</v>
      </c>
      <c r="G538" t="s">
        <v>35</v>
      </c>
      <c r="H538" t="s">
        <v>36</v>
      </c>
      <c r="I538" s="5">
        <v>1</v>
      </c>
      <c r="J538" s="3">
        <v>37.44</v>
      </c>
      <c r="K538" s="3">
        <v>37.44</v>
      </c>
      <c r="L538" s="3">
        <v>18.98</v>
      </c>
      <c r="M538" s="3">
        <v>18.98</v>
      </c>
      <c r="N538" s="3">
        <v>18.46</v>
      </c>
      <c r="O538" s="4">
        <v>0.49305555555555564</v>
      </c>
      <c r="P538" s="3">
        <v>140000</v>
      </c>
    </row>
    <row r="539" spans="1:16">
      <c r="A539" t="s">
        <v>591</v>
      </c>
      <c r="B539" s="2">
        <v>45799</v>
      </c>
      <c r="C539" t="s">
        <v>33</v>
      </c>
      <c r="D539" t="s">
        <v>52</v>
      </c>
      <c r="E539" t="s">
        <v>26</v>
      </c>
      <c r="F539" t="s">
        <v>20</v>
      </c>
      <c r="G539" t="s">
        <v>21</v>
      </c>
      <c r="H539" t="s">
        <v>22</v>
      </c>
      <c r="I539" s="5">
        <v>5</v>
      </c>
      <c r="J539" s="3">
        <v>27.46</v>
      </c>
      <c r="K539" s="3">
        <v>137.30000000000001</v>
      </c>
      <c r="L539" s="3">
        <v>15.27</v>
      </c>
      <c r="M539" s="3">
        <v>76.349999999999994</v>
      </c>
      <c r="N539" s="3">
        <v>60.95</v>
      </c>
      <c r="O539" s="4">
        <v>0.443918426802622</v>
      </c>
      <c r="P539" s="3">
        <v>155000</v>
      </c>
    </row>
    <row r="540" spans="1:16">
      <c r="A540" t="s">
        <v>592</v>
      </c>
      <c r="B540" s="2">
        <v>45777</v>
      </c>
      <c r="C540" t="s">
        <v>40</v>
      </c>
      <c r="D540" t="s">
        <v>46</v>
      </c>
      <c r="E540" t="s">
        <v>26</v>
      </c>
      <c r="F540" t="s">
        <v>20</v>
      </c>
      <c r="G540" t="s">
        <v>35</v>
      </c>
      <c r="H540" t="s">
        <v>58</v>
      </c>
      <c r="I540" s="5">
        <v>2</v>
      </c>
      <c r="J540" s="3">
        <v>1006.23</v>
      </c>
      <c r="K540" s="3">
        <v>2012.46</v>
      </c>
      <c r="L540" s="3">
        <v>748.29</v>
      </c>
      <c r="M540" s="3">
        <v>1496.58</v>
      </c>
      <c r="N540" s="3">
        <v>515.88</v>
      </c>
      <c r="O540" s="4">
        <v>0.25634298321457322</v>
      </c>
      <c r="P540" s="3">
        <v>165000</v>
      </c>
    </row>
    <row r="541" spans="1:16">
      <c r="A541" t="s">
        <v>593</v>
      </c>
      <c r="B541" s="2">
        <v>45746</v>
      </c>
      <c r="C541" t="s">
        <v>24</v>
      </c>
      <c r="D541" t="s">
        <v>25</v>
      </c>
      <c r="E541" t="s">
        <v>19</v>
      </c>
      <c r="F541" t="s">
        <v>20</v>
      </c>
      <c r="G541" t="s">
        <v>27</v>
      </c>
      <c r="H541" t="s">
        <v>44</v>
      </c>
      <c r="I541" s="5">
        <v>2</v>
      </c>
      <c r="J541" s="3">
        <v>342.92</v>
      </c>
      <c r="K541" s="3">
        <v>685.84</v>
      </c>
      <c r="L541" s="3">
        <v>220.96</v>
      </c>
      <c r="M541" s="3">
        <v>441.92</v>
      </c>
      <c r="N541" s="3">
        <v>243.92</v>
      </c>
      <c r="O541" s="4">
        <v>0.35565146389828528</v>
      </c>
      <c r="P541" s="3">
        <v>135000</v>
      </c>
    </row>
    <row r="542" spans="1:16">
      <c r="A542" t="s">
        <v>594</v>
      </c>
      <c r="B542" s="2">
        <v>45829</v>
      </c>
      <c r="C542" t="s">
        <v>40</v>
      </c>
      <c r="D542" t="s">
        <v>57</v>
      </c>
      <c r="E542" t="s">
        <v>26</v>
      </c>
      <c r="F542" t="s">
        <v>43</v>
      </c>
      <c r="G542" t="s">
        <v>35</v>
      </c>
      <c r="H542" t="s">
        <v>58</v>
      </c>
      <c r="I542" s="5">
        <v>1</v>
      </c>
      <c r="J542" s="3">
        <v>987.48</v>
      </c>
      <c r="K542" s="3">
        <v>987.48</v>
      </c>
      <c r="L542" s="3">
        <v>736.72</v>
      </c>
      <c r="M542" s="3">
        <v>736.72</v>
      </c>
      <c r="N542" s="3">
        <v>250.76</v>
      </c>
      <c r="O542" s="4">
        <v>0.25393932029003119</v>
      </c>
      <c r="P542" s="3">
        <v>165000</v>
      </c>
    </row>
    <row r="543" spans="1:16">
      <c r="A543" t="s">
        <v>595</v>
      </c>
      <c r="B543" s="2">
        <v>45685</v>
      </c>
      <c r="C543" t="s">
        <v>40</v>
      </c>
      <c r="D543" t="s">
        <v>41</v>
      </c>
      <c r="E543" t="s">
        <v>26</v>
      </c>
      <c r="F543" t="s">
        <v>50</v>
      </c>
      <c r="G543" t="s">
        <v>35</v>
      </c>
      <c r="H543" t="s">
        <v>36</v>
      </c>
      <c r="I543" s="5">
        <v>4</v>
      </c>
      <c r="J543" s="3">
        <v>32.68</v>
      </c>
      <c r="K543" s="3">
        <v>130.72</v>
      </c>
      <c r="L543" s="3">
        <v>18.489999999999998</v>
      </c>
      <c r="M543" s="3">
        <v>73.959999999999994</v>
      </c>
      <c r="N543" s="3">
        <v>56.76</v>
      </c>
      <c r="O543" s="4">
        <v>0.43421052631578944</v>
      </c>
      <c r="P543" s="3">
        <v>165000</v>
      </c>
    </row>
    <row r="544" spans="1:16">
      <c r="A544" t="s">
        <v>596</v>
      </c>
      <c r="B544" s="2">
        <v>45859</v>
      </c>
      <c r="C544" t="s">
        <v>24</v>
      </c>
      <c r="D544" t="s">
        <v>25</v>
      </c>
      <c r="E544" t="s">
        <v>26</v>
      </c>
      <c r="F544" t="s">
        <v>20</v>
      </c>
      <c r="G544" t="s">
        <v>27</v>
      </c>
      <c r="H544" t="s">
        <v>44</v>
      </c>
      <c r="I544" s="5">
        <v>3</v>
      </c>
      <c r="J544" s="3">
        <v>297.31</v>
      </c>
      <c r="K544" s="3">
        <v>891.93</v>
      </c>
      <c r="L544" s="3">
        <v>203.33</v>
      </c>
      <c r="M544" s="3">
        <v>609.99</v>
      </c>
      <c r="N544" s="3">
        <v>281.94</v>
      </c>
      <c r="O544" s="4">
        <v>0.31610103931922912</v>
      </c>
      <c r="P544" s="3">
        <v>135000</v>
      </c>
    </row>
    <row r="545" spans="1:16">
      <c r="A545" t="s">
        <v>597</v>
      </c>
      <c r="B545" s="2">
        <v>45950</v>
      </c>
      <c r="C545" t="s">
        <v>17</v>
      </c>
      <c r="D545" t="s">
        <v>38</v>
      </c>
      <c r="E545" t="s">
        <v>26</v>
      </c>
      <c r="F545" t="s">
        <v>20</v>
      </c>
      <c r="G545" t="s">
        <v>27</v>
      </c>
      <c r="H545" t="s">
        <v>44</v>
      </c>
      <c r="I545" s="5">
        <v>3</v>
      </c>
      <c r="J545" s="3">
        <v>341.65</v>
      </c>
      <c r="K545" s="3">
        <v>1024.95</v>
      </c>
      <c r="L545" s="3">
        <v>211.7</v>
      </c>
      <c r="M545" s="3">
        <v>635.1</v>
      </c>
      <c r="N545" s="3">
        <v>389.85</v>
      </c>
      <c r="O545" s="4">
        <v>0.3803600175618323</v>
      </c>
      <c r="P545" s="3">
        <v>140000</v>
      </c>
    </row>
    <row r="546" spans="1:16">
      <c r="A546" t="s">
        <v>598</v>
      </c>
      <c r="B546" s="2">
        <v>45759</v>
      </c>
      <c r="C546" t="s">
        <v>24</v>
      </c>
      <c r="D546" t="s">
        <v>74</v>
      </c>
      <c r="E546" t="s">
        <v>19</v>
      </c>
      <c r="F546" t="s">
        <v>20</v>
      </c>
      <c r="G546" t="s">
        <v>27</v>
      </c>
      <c r="H546" t="s">
        <v>28</v>
      </c>
      <c r="I546" s="5">
        <v>4</v>
      </c>
      <c r="J546" s="3">
        <v>171.6</v>
      </c>
      <c r="K546" s="3">
        <v>686.4</v>
      </c>
      <c r="L546" s="3">
        <v>113.46</v>
      </c>
      <c r="M546" s="3">
        <v>453.84</v>
      </c>
      <c r="N546" s="3">
        <v>232.56</v>
      </c>
      <c r="O546" s="4">
        <v>0.33881118881118882</v>
      </c>
      <c r="P546" s="3">
        <v>135000</v>
      </c>
    </row>
    <row r="547" spans="1:16">
      <c r="A547" t="s">
        <v>599</v>
      </c>
      <c r="B547" s="2">
        <v>45878</v>
      </c>
      <c r="C547" t="s">
        <v>40</v>
      </c>
      <c r="D547" t="s">
        <v>41</v>
      </c>
      <c r="E547" t="s">
        <v>26</v>
      </c>
      <c r="F547" t="s">
        <v>20</v>
      </c>
      <c r="G547" t="s">
        <v>35</v>
      </c>
      <c r="H547" t="s">
        <v>36</v>
      </c>
      <c r="I547" s="5">
        <v>6</v>
      </c>
      <c r="J547" s="3">
        <v>32.97</v>
      </c>
      <c r="K547" s="3">
        <v>197.82</v>
      </c>
      <c r="L547" s="3">
        <v>17.899999999999999</v>
      </c>
      <c r="M547" s="3">
        <v>107.4</v>
      </c>
      <c r="N547" s="3">
        <v>90.42</v>
      </c>
      <c r="O547" s="4">
        <v>0.45708219593569915</v>
      </c>
      <c r="P547" s="3">
        <v>165000</v>
      </c>
    </row>
    <row r="548" spans="1:16">
      <c r="A548" t="s">
        <v>600</v>
      </c>
      <c r="B548" s="2">
        <v>45993</v>
      </c>
      <c r="C548" t="s">
        <v>17</v>
      </c>
      <c r="D548" t="s">
        <v>80</v>
      </c>
      <c r="E548" t="s">
        <v>26</v>
      </c>
      <c r="F548" t="s">
        <v>20</v>
      </c>
      <c r="G548" t="s">
        <v>27</v>
      </c>
      <c r="H548" t="s">
        <v>55</v>
      </c>
      <c r="I548" s="5">
        <v>3</v>
      </c>
      <c r="J548" s="3">
        <v>618.08000000000004</v>
      </c>
      <c r="K548" s="3">
        <v>1854.24</v>
      </c>
      <c r="L548" s="3">
        <v>452.54</v>
      </c>
      <c r="M548" s="3">
        <v>1357.62</v>
      </c>
      <c r="N548" s="3">
        <v>496.62</v>
      </c>
      <c r="O548" s="4">
        <v>0.26782940719647941</v>
      </c>
      <c r="P548" s="3">
        <v>140000</v>
      </c>
    </row>
    <row r="549" spans="1:16">
      <c r="A549" t="s">
        <v>601</v>
      </c>
      <c r="B549" s="2">
        <v>45777</v>
      </c>
      <c r="C549" t="s">
        <v>33</v>
      </c>
      <c r="D549" t="s">
        <v>34</v>
      </c>
      <c r="E549" t="s">
        <v>26</v>
      </c>
      <c r="F549" t="s">
        <v>50</v>
      </c>
      <c r="G549" t="s">
        <v>21</v>
      </c>
      <c r="H549" t="s">
        <v>47</v>
      </c>
      <c r="I549" s="5">
        <v>2</v>
      </c>
      <c r="J549" s="3">
        <v>44.63</v>
      </c>
      <c r="K549" s="3">
        <v>89.26</v>
      </c>
      <c r="L549" s="3">
        <v>23.62</v>
      </c>
      <c r="M549" s="3">
        <v>47.24</v>
      </c>
      <c r="N549" s="3">
        <v>42.02</v>
      </c>
      <c r="O549" s="4">
        <v>0.47075957875868252</v>
      </c>
      <c r="P549" s="3">
        <v>155000</v>
      </c>
    </row>
    <row r="550" spans="1:16">
      <c r="A550" t="s">
        <v>602</v>
      </c>
      <c r="B550" s="2">
        <v>45975</v>
      </c>
      <c r="C550" t="s">
        <v>33</v>
      </c>
      <c r="D550" t="s">
        <v>34</v>
      </c>
      <c r="E550" t="s">
        <v>26</v>
      </c>
      <c r="F550" t="s">
        <v>50</v>
      </c>
      <c r="G550" t="s">
        <v>21</v>
      </c>
      <c r="H550" t="s">
        <v>47</v>
      </c>
      <c r="I550" s="5">
        <v>5</v>
      </c>
      <c r="J550" s="3">
        <v>41.96</v>
      </c>
      <c r="K550" s="3">
        <v>209.8</v>
      </c>
      <c r="L550" s="3">
        <v>23.09</v>
      </c>
      <c r="M550" s="3">
        <v>115.45</v>
      </c>
      <c r="N550" s="3">
        <v>94.35</v>
      </c>
      <c r="O550" s="4">
        <v>0.44971401334604377</v>
      </c>
      <c r="P550" s="3">
        <v>155000</v>
      </c>
    </row>
    <row r="551" spans="1:16">
      <c r="A551" t="s">
        <v>603</v>
      </c>
      <c r="B551" s="2">
        <v>45765</v>
      </c>
      <c r="C551" t="s">
        <v>33</v>
      </c>
      <c r="D551" t="s">
        <v>68</v>
      </c>
      <c r="E551" t="s">
        <v>19</v>
      </c>
      <c r="F551" t="s">
        <v>50</v>
      </c>
      <c r="G551" t="s">
        <v>27</v>
      </c>
      <c r="H551" t="s">
        <v>28</v>
      </c>
      <c r="I551" s="5">
        <v>8</v>
      </c>
      <c r="J551" s="3">
        <v>186.67</v>
      </c>
      <c r="K551" s="3">
        <v>1493.36</v>
      </c>
      <c r="L551" s="3">
        <v>121.81</v>
      </c>
      <c r="M551" s="3">
        <v>974.48</v>
      </c>
      <c r="N551" s="3">
        <v>518.88</v>
      </c>
      <c r="O551" s="4">
        <v>0.34745808110569454</v>
      </c>
      <c r="P551" s="3">
        <v>155000</v>
      </c>
    </row>
    <row r="552" spans="1:16">
      <c r="A552" t="s">
        <v>604</v>
      </c>
      <c r="B552" s="2">
        <v>46013</v>
      </c>
      <c r="C552" t="s">
        <v>17</v>
      </c>
      <c r="D552" t="s">
        <v>38</v>
      </c>
      <c r="E552" t="s">
        <v>19</v>
      </c>
      <c r="F552" t="s">
        <v>50</v>
      </c>
      <c r="G552" t="s">
        <v>21</v>
      </c>
      <c r="H552" t="s">
        <v>31</v>
      </c>
      <c r="I552" s="5">
        <v>5</v>
      </c>
      <c r="J552" s="3">
        <v>11.25</v>
      </c>
      <c r="K552" s="3">
        <v>56.25</v>
      </c>
      <c r="L552" s="3">
        <v>5.93</v>
      </c>
      <c r="M552" s="3">
        <v>29.65</v>
      </c>
      <c r="N552" s="3">
        <v>26.6</v>
      </c>
      <c r="O552" s="4">
        <v>0.47288888888888891</v>
      </c>
      <c r="P552" s="3">
        <v>140000</v>
      </c>
    </row>
    <row r="553" spans="1:16">
      <c r="A553" t="s">
        <v>605</v>
      </c>
      <c r="B553" s="2">
        <v>46014</v>
      </c>
      <c r="C553" t="s">
        <v>40</v>
      </c>
      <c r="D553" t="s">
        <v>41</v>
      </c>
      <c r="E553" t="s">
        <v>19</v>
      </c>
      <c r="F553" t="s">
        <v>43</v>
      </c>
      <c r="G553" t="s">
        <v>21</v>
      </c>
      <c r="H553" t="s">
        <v>47</v>
      </c>
      <c r="I553" s="5">
        <v>7</v>
      </c>
      <c r="J553" s="3">
        <v>43.9</v>
      </c>
      <c r="K553" s="3">
        <v>307.3</v>
      </c>
      <c r="L553" s="3">
        <v>24.63</v>
      </c>
      <c r="M553" s="3">
        <v>172.41</v>
      </c>
      <c r="N553" s="3">
        <v>134.88999999999999</v>
      </c>
      <c r="O553" s="4">
        <v>0.43895216400911158</v>
      </c>
      <c r="P553" s="3">
        <v>165000</v>
      </c>
    </row>
    <row r="554" spans="1:16">
      <c r="A554" t="s">
        <v>606</v>
      </c>
      <c r="B554" s="2">
        <v>45995</v>
      </c>
      <c r="C554" t="s">
        <v>40</v>
      </c>
      <c r="D554" t="s">
        <v>41</v>
      </c>
      <c r="E554" t="s">
        <v>26</v>
      </c>
      <c r="F554" t="s">
        <v>43</v>
      </c>
      <c r="G554" t="s">
        <v>27</v>
      </c>
      <c r="H554" t="s">
        <v>44</v>
      </c>
      <c r="I554" s="5">
        <v>4</v>
      </c>
      <c r="J554" s="3">
        <v>356.98</v>
      </c>
      <c r="K554" s="3">
        <v>1427.92</v>
      </c>
      <c r="L554" s="3">
        <v>212.28</v>
      </c>
      <c r="M554" s="3">
        <v>849.12</v>
      </c>
      <c r="N554" s="3">
        <v>578.79999999999995</v>
      </c>
      <c r="O554" s="4">
        <v>0.40534483724578402</v>
      </c>
      <c r="P554" s="3">
        <v>165000</v>
      </c>
    </row>
    <row r="555" spans="1:16">
      <c r="A555" t="s">
        <v>607</v>
      </c>
      <c r="B555" s="2">
        <v>46021</v>
      </c>
      <c r="C555" t="s">
        <v>17</v>
      </c>
      <c r="D555" t="s">
        <v>80</v>
      </c>
      <c r="E555" t="s">
        <v>19</v>
      </c>
      <c r="F555" t="s">
        <v>50</v>
      </c>
      <c r="G555" t="s">
        <v>21</v>
      </c>
      <c r="H555" t="s">
        <v>47</v>
      </c>
      <c r="I555" s="5">
        <v>3</v>
      </c>
      <c r="J555" s="3">
        <v>39.64</v>
      </c>
      <c r="K555" s="3">
        <v>118.92</v>
      </c>
      <c r="L555" s="3">
        <v>25.36</v>
      </c>
      <c r="M555" s="3">
        <v>76.08</v>
      </c>
      <c r="N555" s="3">
        <v>42.84</v>
      </c>
      <c r="O555" s="4">
        <v>0.36024217961654897</v>
      </c>
      <c r="P555" s="3">
        <v>140000</v>
      </c>
    </row>
    <row r="556" spans="1:16">
      <c r="A556" t="s">
        <v>608</v>
      </c>
      <c r="B556" s="2">
        <v>45945</v>
      </c>
      <c r="C556" t="s">
        <v>17</v>
      </c>
      <c r="D556" t="s">
        <v>18</v>
      </c>
      <c r="E556" t="s">
        <v>26</v>
      </c>
      <c r="F556" t="s">
        <v>50</v>
      </c>
      <c r="G556" t="s">
        <v>35</v>
      </c>
      <c r="H556" t="s">
        <v>36</v>
      </c>
      <c r="I556" s="5">
        <v>8</v>
      </c>
      <c r="J556" s="3">
        <v>34.53</v>
      </c>
      <c r="K556" s="3">
        <v>276.24</v>
      </c>
      <c r="L556" s="3">
        <v>17.559999999999999</v>
      </c>
      <c r="M556" s="3">
        <v>140.47999999999999</v>
      </c>
      <c r="N556" s="3">
        <v>135.76</v>
      </c>
      <c r="O556" s="4">
        <v>0.49145670431508826</v>
      </c>
      <c r="P556" s="3">
        <v>140000</v>
      </c>
    </row>
    <row r="557" spans="1:16">
      <c r="A557" t="s">
        <v>609</v>
      </c>
      <c r="B557" s="2">
        <v>45835</v>
      </c>
      <c r="C557" t="s">
        <v>40</v>
      </c>
      <c r="D557" t="s">
        <v>46</v>
      </c>
      <c r="E557" t="s">
        <v>19</v>
      </c>
      <c r="F557" t="s">
        <v>20</v>
      </c>
      <c r="G557" t="s">
        <v>27</v>
      </c>
      <c r="H557" t="s">
        <v>28</v>
      </c>
      <c r="I557" s="5">
        <v>5</v>
      </c>
      <c r="J557" s="3">
        <v>194.15</v>
      </c>
      <c r="K557" s="3">
        <v>970.75</v>
      </c>
      <c r="L557" s="3">
        <v>117.6</v>
      </c>
      <c r="M557" s="3">
        <v>588</v>
      </c>
      <c r="N557" s="3">
        <v>382.75</v>
      </c>
      <c r="O557" s="4">
        <v>0.39428277105330928</v>
      </c>
      <c r="P557" s="3">
        <v>165000</v>
      </c>
    </row>
    <row r="558" spans="1:16">
      <c r="A558" t="s">
        <v>610</v>
      </c>
      <c r="B558" s="2">
        <v>45856</v>
      </c>
      <c r="C558" t="s">
        <v>17</v>
      </c>
      <c r="D558" t="s">
        <v>80</v>
      </c>
      <c r="E558" t="s">
        <v>26</v>
      </c>
      <c r="F558" t="s">
        <v>20</v>
      </c>
      <c r="G558" t="s">
        <v>27</v>
      </c>
      <c r="H558" t="s">
        <v>44</v>
      </c>
      <c r="I558" s="5">
        <v>3</v>
      </c>
      <c r="J558" s="3">
        <v>294.18</v>
      </c>
      <c r="K558" s="3">
        <v>882.54</v>
      </c>
      <c r="L558" s="3">
        <v>209.63</v>
      </c>
      <c r="M558" s="3">
        <v>628.89</v>
      </c>
      <c r="N558" s="3">
        <v>253.65</v>
      </c>
      <c r="O558" s="4">
        <v>0.28740906927731324</v>
      </c>
      <c r="P558" s="3">
        <v>140000</v>
      </c>
    </row>
    <row r="559" spans="1:16">
      <c r="A559" t="s">
        <v>611</v>
      </c>
      <c r="B559" s="2">
        <v>46005</v>
      </c>
      <c r="C559" t="s">
        <v>33</v>
      </c>
      <c r="D559" t="s">
        <v>54</v>
      </c>
      <c r="E559" t="s">
        <v>26</v>
      </c>
      <c r="F559" t="s">
        <v>20</v>
      </c>
      <c r="G559" t="s">
        <v>35</v>
      </c>
      <c r="H559" t="s">
        <v>63</v>
      </c>
      <c r="I559" s="5">
        <v>6</v>
      </c>
      <c r="J559" s="3">
        <v>259.69</v>
      </c>
      <c r="K559" s="3">
        <v>1558.14</v>
      </c>
      <c r="L559" s="3">
        <v>175.17</v>
      </c>
      <c r="M559" s="3">
        <v>1051.02</v>
      </c>
      <c r="N559" s="3">
        <v>507.12</v>
      </c>
      <c r="O559" s="4">
        <v>0.32546497747314102</v>
      </c>
      <c r="P559" s="3">
        <v>155000</v>
      </c>
    </row>
    <row r="560" spans="1:16">
      <c r="A560" t="s">
        <v>612</v>
      </c>
      <c r="B560" s="2">
        <v>45992</v>
      </c>
      <c r="C560" t="s">
        <v>33</v>
      </c>
      <c r="D560" t="s">
        <v>68</v>
      </c>
      <c r="E560" t="s">
        <v>42</v>
      </c>
      <c r="F560" t="s">
        <v>20</v>
      </c>
      <c r="G560" t="s">
        <v>27</v>
      </c>
      <c r="H560" t="s">
        <v>28</v>
      </c>
      <c r="I560" s="5">
        <v>3</v>
      </c>
      <c r="J560" s="3">
        <v>179.03</v>
      </c>
      <c r="K560" s="3">
        <v>537.09</v>
      </c>
      <c r="L560" s="3">
        <v>120.85</v>
      </c>
      <c r="M560" s="3">
        <v>362.55</v>
      </c>
      <c r="N560" s="3">
        <v>174.54</v>
      </c>
      <c r="O560" s="4">
        <v>0.32497346813383227</v>
      </c>
      <c r="P560" s="3">
        <v>155000</v>
      </c>
    </row>
    <row r="561" spans="1:16">
      <c r="A561" t="s">
        <v>613</v>
      </c>
      <c r="B561" s="2">
        <v>45732</v>
      </c>
      <c r="C561" t="s">
        <v>33</v>
      </c>
      <c r="D561" t="s">
        <v>34</v>
      </c>
      <c r="E561" t="s">
        <v>26</v>
      </c>
      <c r="F561" t="s">
        <v>50</v>
      </c>
      <c r="G561" t="s">
        <v>21</v>
      </c>
      <c r="H561" t="s">
        <v>47</v>
      </c>
      <c r="I561" s="5">
        <v>3</v>
      </c>
      <c r="J561" s="3">
        <v>40.729999999999997</v>
      </c>
      <c r="K561" s="3">
        <v>122.19</v>
      </c>
      <c r="L561" s="3">
        <v>25.15</v>
      </c>
      <c r="M561" s="3">
        <v>75.45</v>
      </c>
      <c r="N561" s="3">
        <v>46.74</v>
      </c>
      <c r="O561" s="4">
        <v>0.38251902774367791</v>
      </c>
      <c r="P561" s="3">
        <v>155000</v>
      </c>
    </row>
    <row r="562" spans="1:16">
      <c r="A562" t="s">
        <v>614</v>
      </c>
      <c r="B562" s="2">
        <v>45673</v>
      </c>
      <c r="C562" t="s">
        <v>40</v>
      </c>
      <c r="D562" t="s">
        <v>57</v>
      </c>
      <c r="E562" t="s">
        <v>42</v>
      </c>
      <c r="F562" t="s">
        <v>20</v>
      </c>
      <c r="G562" t="s">
        <v>35</v>
      </c>
      <c r="H562" t="s">
        <v>63</v>
      </c>
      <c r="I562" s="5">
        <v>3</v>
      </c>
      <c r="J562" s="3">
        <v>278.56</v>
      </c>
      <c r="K562" s="3">
        <v>835.68</v>
      </c>
      <c r="L562" s="3">
        <v>174.72</v>
      </c>
      <c r="M562" s="3">
        <v>524.16</v>
      </c>
      <c r="N562" s="3">
        <v>311.52</v>
      </c>
      <c r="O562" s="4">
        <v>0.37277426766226307</v>
      </c>
      <c r="P562" s="3">
        <v>165000</v>
      </c>
    </row>
    <row r="563" spans="1:16">
      <c r="A563" t="s">
        <v>615</v>
      </c>
      <c r="B563" s="2">
        <v>45752</v>
      </c>
      <c r="C563" t="s">
        <v>17</v>
      </c>
      <c r="D563" t="s">
        <v>80</v>
      </c>
      <c r="E563" t="s">
        <v>19</v>
      </c>
      <c r="F563" t="s">
        <v>50</v>
      </c>
      <c r="G563" t="s">
        <v>35</v>
      </c>
      <c r="H563" t="s">
        <v>58</v>
      </c>
      <c r="I563" s="5">
        <v>4</v>
      </c>
      <c r="J563" s="3">
        <v>998.66</v>
      </c>
      <c r="K563" s="3">
        <v>3994.64</v>
      </c>
      <c r="L563" s="3">
        <v>717.07</v>
      </c>
      <c r="M563" s="3">
        <v>2868.28</v>
      </c>
      <c r="N563" s="3">
        <v>1126.3599999999999</v>
      </c>
      <c r="O563" s="4">
        <v>0.28196783690144794</v>
      </c>
      <c r="P563" s="3">
        <v>140000</v>
      </c>
    </row>
    <row r="564" spans="1:16">
      <c r="A564" t="s">
        <v>616</v>
      </c>
      <c r="B564" s="2">
        <v>46010</v>
      </c>
      <c r="C564" t="s">
        <v>24</v>
      </c>
      <c r="D564" t="s">
        <v>30</v>
      </c>
      <c r="E564" t="s">
        <v>19</v>
      </c>
      <c r="F564" t="s">
        <v>50</v>
      </c>
      <c r="G564" t="s">
        <v>35</v>
      </c>
      <c r="H564" t="s">
        <v>36</v>
      </c>
      <c r="I564" s="5">
        <v>3</v>
      </c>
      <c r="J564" s="3">
        <v>38.06</v>
      </c>
      <c r="K564" s="3">
        <v>114.18</v>
      </c>
      <c r="L564" s="3">
        <v>18.16</v>
      </c>
      <c r="M564" s="3">
        <v>54.48</v>
      </c>
      <c r="N564" s="3">
        <v>59.7</v>
      </c>
      <c r="O564" s="4">
        <v>0.52285864424592743</v>
      </c>
      <c r="P564" s="3">
        <v>135000</v>
      </c>
    </row>
    <row r="565" spans="1:16">
      <c r="A565" t="s">
        <v>617</v>
      </c>
      <c r="B565" s="2">
        <v>45728</v>
      </c>
      <c r="C565" t="s">
        <v>33</v>
      </c>
      <c r="D565" t="s">
        <v>68</v>
      </c>
      <c r="E565" t="s">
        <v>26</v>
      </c>
      <c r="F565" t="s">
        <v>20</v>
      </c>
      <c r="G565" t="s">
        <v>21</v>
      </c>
      <c r="H565" t="s">
        <v>31</v>
      </c>
      <c r="I565" s="5">
        <v>5</v>
      </c>
      <c r="J565" s="3">
        <v>13.31</v>
      </c>
      <c r="K565" s="3">
        <v>66.55</v>
      </c>
      <c r="L565" s="3">
        <v>5.89</v>
      </c>
      <c r="M565" s="3">
        <v>29.45</v>
      </c>
      <c r="N565" s="3">
        <v>37.1</v>
      </c>
      <c r="O565" s="4">
        <v>0.55747558226897076</v>
      </c>
      <c r="P565" s="3">
        <v>155000</v>
      </c>
    </row>
    <row r="566" spans="1:16">
      <c r="A566" t="s">
        <v>618</v>
      </c>
      <c r="B566" s="2">
        <v>46001</v>
      </c>
      <c r="C566" t="s">
        <v>33</v>
      </c>
      <c r="D566" t="s">
        <v>68</v>
      </c>
      <c r="E566" t="s">
        <v>26</v>
      </c>
      <c r="F566" t="s">
        <v>43</v>
      </c>
      <c r="G566" t="s">
        <v>27</v>
      </c>
      <c r="H566" t="s">
        <v>55</v>
      </c>
      <c r="I566" s="5">
        <v>8</v>
      </c>
      <c r="J566" s="3">
        <v>651.82000000000005</v>
      </c>
      <c r="K566" s="3">
        <v>5214.5600000000004</v>
      </c>
      <c r="L566" s="3">
        <v>450.07</v>
      </c>
      <c r="M566" s="3">
        <v>3600.56</v>
      </c>
      <c r="N566" s="3">
        <v>1614</v>
      </c>
      <c r="O566" s="4">
        <v>0.30951796508238466</v>
      </c>
      <c r="P566" s="3">
        <v>155000</v>
      </c>
    </row>
    <row r="567" spans="1:16">
      <c r="A567" t="s">
        <v>619</v>
      </c>
      <c r="B567" s="2">
        <v>45784</v>
      </c>
      <c r="C567" t="s">
        <v>24</v>
      </c>
      <c r="D567" t="s">
        <v>74</v>
      </c>
      <c r="E567" t="s">
        <v>42</v>
      </c>
      <c r="F567" t="s">
        <v>50</v>
      </c>
      <c r="G567" t="s">
        <v>27</v>
      </c>
      <c r="H567" t="s">
        <v>44</v>
      </c>
      <c r="I567" s="5">
        <v>6</v>
      </c>
      <c r="J567" s="3">
        <v>315.75</v>
      </c>
      <c r="K567" s="3">
        <v>1894.5</v>
      </c>
      <c r="L567" s="3">
        <v>221.32</v>
      </c>
      <c r="M567" s="3">
        <v>1327.92</v>
      </c>
      <c r="N567" s="3">
        <v>566.58000000000004</v>
      </c>
      <c r="O567" s="4">
        <v>0.29906571654790182</v>
      </c>
      <c r="P567" s="3">
        <v>135000</v>
      </c>
    </row>
    <row r="568" spans="1:16">
      <c r="A568" t="s">
        <v>620</v>
      </c>
      <c r="B568" s="2">
        <v>45950</v>
      </c>
      <c r="C568" t="s">
        <v>17</v>
      </c>
      <c r="D568" t="s">
        <v>18</v>
      </c>
      <c r="E568" t="s">
        <v>19</v>
      </c>
      <c r="F568" t="s">
        <v>43</v>
      </c>
      <c r="G568" t="s">
        <v>21</v>
      </c>
      <c r="H568" t="s">
        <v>31</v>
      </c>
      <c r="I568" s="5">
        <v>4</v>
      </c>
      <c r="J568" s="3">
        <v>12.17</v>
      </c>
      <c r="K568" s="3">
        <v>48.68</v>
      </c>
      <c r="L568" s="3">
        <v>6</v>
      </c>
      <c r="M568" s="3">
        <v>24</v>
      </c>
      <c r="N568" s="3">
        <v>24.68</v>
      </c>
      <c r="O568" s="4">
        <v>0.50698438783894828</v>
      </c>
      <c r="P568" s="3">
        <v>140000</v>
      </c>
    </row>
    <row r="569" spans="1:16">
      <c r="A569" t="s">
        <v>621</v>
      </c>
      <c r="B569" s="2">
        <v>45678</v>
      </c>
      <c r="C569" t="s">
        <v>24</v>
      </c>
      <c r="D569" t="s">
        <v>25</v>
      </c>
      <c r="E569" t="s">
        <v>26</v>
      </c>
      <c r="F569" t="s">
        <v>20</v>
      </c>
      <c r="G569" t="s">
        <v>35</v>
      </c>
      <c r="H569" t="s">
        <v>63</v>
      </c>
      <c r="I569" s="5">
        <v>5</v>
      </c>
      <c r="J569" s="3">
        <v>260.39</v>
      </c>
      <c r="K569" s="3">
        <v>1301.95</v>
      </c>
      <c r="L569" s="3">
        <v>180.4</v>
      </c>
      <c r="M569" s="3">
        <v>902</v>
      </c>
      <c r="N569" s="3">
        <v>399.95</v>
      </c>
      <c r="O569" s="4">
        <v>0.30719305656899265</v>
      </c>
      <c r="P569" s="3">
        <v>135000</v>
      </c>
    </row>
    <row r="570" spans="1:16">
      <c r="A570" t="s">
        <v>622</v>
      </c>
      <c r="B570" s="2">
        <v>45971</v>
      </c>
      <c r="C570" t="s">
        <v>17</v>
      </c>
      <c r="D570" t="s">
        <v>60</v>
      </c>
      <c r="E570" t="s">
        <v>19</v>
      </c>
      <c r="F570" t="s">
        <v>50</v>
      </c>
      <c r="G570" t="s">
        <v>21</v>
      </c>
      <c r="H570" t="s">
        <v>47</v>
      </c>
      <c r="I570" s="5">
        <v>2</v>
      </c>
      <c r="J570" s="3">
        <v>39.46</v>
      </c>
      <c r="K570" s="3">
        <v>78.92</v>
      </c>
      <c r="L570" s="3">
        <v>24.45</v>
      </c>
      <c r="M570" s="3">
        <v>48.9</v>
      </c>
      <c r="N570" s="3">
        <v>30.02</v>
      </c>
      <c r="O570" s="4">
        <v>0.38038520020273692</v>
      </c>
      <c r="P570" s="3">
        <v>140000</v>
      </c>
    </row>
    <row r="571" spans="1:16">
      <c r="A571" t="s">
        <v>623</v>
      </c>
      <c r="B571" s="2">
        <v>46014</v>
      </c>
      <c r="C571" t="s">
        <v>33</v>
      </c>
      <c r="D571" t="s">
        <v>54</v>
      </c>
      <c r="E571" t="s">
        <v>26</v>
      </c>
      <c r="F571" t="s">
        <v>50</v>
      </c>
      <c r="G571" t="s">
        <v>21</v>
      </c>
      <c r="H571" t="s">
        <v>22</v>
      </c>
      <c r="I571" s="5">
        <v>8</v>
      </c>
      <c r="J571" s="3">
        <v>28.84</v>
      </c>
      <c r="K571" s="3">
        <v>230.72</v>
      </c>
      <c r="L571" s="3">
        <v>15.47</v>
      </c>
      <c r="M571" s="3">
        <v>123.76</v>
      </c>
      <c r="N571" s="3">
        <v>106.96</v>
      </c>
      <c r="O571" s="4">
        <v>0.4635922330097087</v>
      </c>
      <c r="P571" s="3">
        <v>155000</v>
      </c>
    </row>
    <row r="572" spans="1:16">
      <c r="A572" t="s">
        <v>624</v>
      </c>
      <c r="B572" s="2">
        <v>45761</v>
      </c>
      <c r="C572" t="s">
        <v>24</v>
      </c>
      <c r="D572" t="s">
        <v>25</v>
      </c>
      <c r="E572" t="s">
        <v>26</v>
      </c>
      <c r="F572" t="s">
        <v>50</v>
      </c>
      <c r="G572" t="s">
        <v>21</v>
      </c>
      <c r="H572" t="s">
        <v>22</v>
      </c>
      <c r="I572" s="5">
        <v>2</v>
      </c>
      <c r="J572" s="3">
        <v>25.76</v>
      </c>
      <c r="K572" s="3">
        <v>51.52</v>
      </c>
      <c r="L572" s="3">
        <v>15.46</v>
      </c>
      <c r="M572" s="3">
        <v>30.92</v>
      </c>
      <c r="N572" s="3">
        <v>20.6</v>
      </c>
      <c r="O572" s="4">
        <v>0.3998447204968944</v>
      </c>
      <c r="P572" s="3">
        <v>135000</v>
      </c>
    </row>
    <row r="573" spans="1:16">
      <c r="A573" t="s">
        <v>625</v>
      </c>
      <c r="B573" s="2">
        <v>45982</v>
      </c>
      <c r="C573" t="s">
        <v>40</v>
      </c>
      <c r="D573" t="s">
        <v>41</v>
      </c>
      <c r="E573" t="s">
        <v>19</v>
      </c>
      <c r="F573" t="s">
        <v>20</v>
      </c>
      <c r="G573" t="s">
        <v>27</v>
      </c>
      <c r="H573" t="s">
        <v>28</v>
      </c>
      <c r="I573" s="5">
        <v>3</v>
      </c>
      <c r="J573" s="3">
        <v>177</v>
      </c>
      <c r="K573" s="3">
        <v>531</v>
      </c>
      <c r="L573" s="3">
        <v>114.78</v>
      </c>
      <c r="M573" s="3">
        <v>344.34</v>
      </c>
      <c r="N573" s="3">
        <v>186.66</v>
      </c>
      <c r="O573" s="4">
        <v>0.35152542372881357</v>
      </c>
      <c r="P573" s="3">
        <v>165000</v>
      </c>
    </row>
    <row r="574" spans="1:16">
      <c r="A574" t="s">
        <v>626</v>
      </c>
      <c r="B574" s="2">
        <v>45745</v>
      </c>
      <c r="C574" t="s">
        <v>40</v>
      </c>
      <c r="D574" t="s">
        <v>65</v>
      </c>
      <c r="E574" t="s">
        <v>26</v>
      </c>
      <c r="F574" t="s">
        <v>20</v>
      </c>
      <c r="G574" t="s">
        <v>21</v>
      </c>
      <c r="H574" t="s">
        <v>31</v>
      </c>
      <c r="I574" s="5">
        <v>7</v>
      </c>
      <c r="J574" s="3">
        <v>11.61</v>
      </c>
      <c r="K574" s="3">
        <v>81.27</v>
      </c>
      <c r="L574" s="3">
        <v>6.2</v>
      </c>
      <c r="M574" s="3">
        <v>43.4</v>
      </c>
      <c r="N574" s="3">
        <v>37.869999999999997</v>
      </c>
      <c r="O574" s="4">
        <v>0.46597760551248923</v>
      </c>
      <c r="P574" s="3">
        <v>165000</v>
      </c>
    </row>
    <row r="575" spans="1:16">
      <c r="A575" t="s">
        <v>627</v>
      </c>
      <c r="B575" s="2">
        <v>45886</v>
      </c>
      <c r="C575" t="s">
        <v>40</v>
      </c>
      <c r="D575" t="s">
        <v>65</v>
      </c>
      <c r="E575" t="s">
        <v>26</v>
      </c>
      <c r="F575" t="s">
        <v>20</v>
      </c>
      <c r="G575" t="s">
        <v>35</v>
      </c>
      <c r="H575" t="s">
        <v>58</v>
      </c>
      <c r="I575" s="5">
        <v>1</v>
      </c>
      <c r="J575" s="3">
        <v>985.12</v>
      </c>
      <c r="K575" s="3">
        <v>985.12</v>
      </c>
      <c r="L575" s="3">
        <v>709.42</v>
      </c>
      <c r="M575" s="3">
        <v>709.42</v>
      </c>
      <c r="N575" s="3">
        <v>275.7</v>
      </c>
      <c r="O575" s="4">
        <v>0.27986438200422281</v>
      </c>
      <c r="P575" s="3">
        <v>165000</v>
      </c>
    </row>
    <row r="576" spans="1:16">
      <c r="A576" t="s">
        <v>628</v>
      </c>
      <c r="B576" s="2">
        <v>45892</v>
      </c>
      <c r="C576" t="s">
        <v>24</v>
      </c>
      <c r="D576" t="s">
        <v>74</v>
      </c>
      <c r="E576" t="s">
        <v>19</v>
      </c>
      <c r="F576" t="s">
        <v>20</v>
      </c>
      <c r="G576" t="s">
        <v>27</v>
      </c>
      <c r="H576" t="s">
        <v>55</v>
      </c>
      <c r="I576" s="5">
        <v>4</v>
      </c>
      <c r="J576" s="3">
        <v>587.58000000000004</v>
      </c>
      <c r="K576" s="3">
        <v>2350.3200000000002</v>
      </c>
      <c r="L576" s="3">
        <v>441.16</v>
      </c>
      <c r="M576" s="3">
        <v>1764.64</v>
      </c>
      <c r="N576" s="3">
        <v>585.67999999999995</v>
      </c>
      <c r="O576" s="4">
        <v>0.2491915994417781</v>
      </c>
      <c r="P576" s="3">
        <v>135000</v>
      </c>
    </row>
    <row r="577" spans="1:16">
      <c r="A577" t="s">
        <v>629</v>
      </c>
      <c r="B577" s="2">
        <v>45890</v>
      </c>
      <c r="C577" t="s">
        <v>24</v>
      </c>
      <c r="D577" t="s">
        <v>74</v>
      </c>
      <c r="E577" t="s">
        <v>26</v>
      </c>
      <c r="F577" t="s">
        <v>50</v>
      </c>
      <c r="G577" t="s">
        <v>35</v>
      </c>
      <c r="H577" t="s">
        <v>58</v>
      </c>
      <c r="I577" s="5">
        <v>5</v>
      </c>
      <c r="J577" s="3">
        <v>984.53</v>
      </c>
      <c r="K577" s="3">
        <v>4922.6499999999996</v>
      </c>
      <c r="L577" s="3">
        <v>731.34</v>
      </c>
      <c r="M577" s="3">
        <v>3656.7</v>
      </c>
      <c r="N577" s="3">
        <v>1265.95</v>
      </c>
      <c r="O577" s="4">
        <v>0.25716839507176015</v>
      </c>
      <c r="P577" s="3">
        <v>135000</v>
      </c>
    </row>
    <row r="578" spans="1:16">
      <c r="A578" t="s">
        <v>630</v>
      </c>
      <c r="B578" s="2">
        <v>45764</v>
      </c>
      <c r="C578" t="s">
        <v>17</v>
      </c>
      <c r="D578" t="s">
        <v>60</v>
      </c>
      <c r="E578" t="s">
        <v>26</v>
      </c>
      <c r="F578" t="s">
        <v>50</v>
      </c>
      <c r="G578" t="s">
        <v>21</v>
      </c>
      <c r="H578" t="s">
        <v>31</v>
      </c>
      <c r="I578" s="5">
        <v>3</v>
      </c>
      <c r="J578" s="3">
        <v>13.05</v>
      </c>
      <c r="K578" s="3">
        <v>39.15</v>
      </c>
      <c r="L578" s="3">
        <v>6.16</v>
      </c>
      <c r="M578" s="3">
        <v>18.48</v>
      </c>
      <c r="N578" s="3">
        <v>20.67</v>
      </c>
      <c r="O578" s="4">
        <v>0.52796934865900391</v>
      </c>
      <c r="P578" s="3">
        <v>140000</v>
      </c>
    </row>
    <row r="579" spans="1:16">
      <c r="A579" t="s">
        <v>631</v>
      </c>
      <c r="B579" s="2">
        <v>45966</v>
      </c>
      <c r="C579" t="s">
        <v>40</v>
      </c>
      <c r="D579" t="s">
        <v>46</v>
      </c>
      <c r="E579" t="s">
        <v>42</v>
      </c>
      <c r="F579" t="s">
        <v>20</v>
      </c>
      <c r="G579" t="s">
        <v>27</v>
      </c>
      <c r="H579" t="s">
        <v>44</v>
      </c>
      <c r="I579" s="5">
        <v>3</v>
      </c>
      <c r="J579" s="3">
        <v>299.36</v>
      </c>
      <c r="K579" s="3">
        <v>898.08</v>
      </c>
      <c r="L579" s="3">
        <v>207.57</v>
      </c>
      <c r="M579" s="3">
        <v>622.71</v>
      </c>
      <c r="N579" s="3">
        <v>275.37</v>
      </c>
      <c r="O579" s="4">
        <v>0.30662079102084444</v>
      </c>
      <c r="P579" s="3">
        <v>165000</v>
      </c>
    </row>
    <row r="580" spans="1:16">
      <c r="A580" t="s">
        <v>632</v>
      </c>
      <c r="B580" s="2">
        <v>45996</v>
      </c>
      <c r="C580" t="s">
        <v>33</v>
      </c>
      <c r="D580" t="s">
        <v>54</v>
      </c>
      <c r="E580" t="s">
        <v>19</v>
      </c>
      <c r="F580" t="s">
        <v>20</v>
      </c>
      <c r="G580" t="s">
        <v>21</v>
      </c>
      <c r="H580" t="s">
        <v>31</v>
      </c>
      <c r="I580" s="5">
        <v>2</v>
      </c>
      <c r="J580" s="3">
        <v>12.83</v>
      </c>
      <c r="K580" s="3">
        <v>25.66</v>
      </c>
      <c r="L580" s="3">
        <v>5.95</v>
      </c>
      <c r="M580" s="3">
        <v>11.9</v>
      </c>
      <c r="N580" s="3">
        <v>13.76</v>
      </c>
      <c r="O580" s="4">
        <v>0.53624318004676541</v>
      </c>
      <c r="P580" s="3">
        <v>155000</v>
      </c>
    </row>
    <row r="581" spans="1:16">
      <c r="A581" t="s">
        <v>633</v>
      </c>
      <c r="B581" s="2">
        <v>45852</v>
      </c>
      <c r="C581" t="s">
        <v>17</v>
      </c>
      <c r="D581" t="s">
        <v>38</v>
      </c>
      <c r="E581" t="s">
        <v>42</v>
      </c>
      <c r="F581" t="s">
        <v>20</v>
      </c>
      <c r="G581" t="s">
        <v>27</v>
      </c>
      <c r="H581" t="s">
        <v>55</v>
      </c>
      <c r="I581" s="5">
        <v>3</v>
      </c>
      <c r="J581" s="3">
        <v>574.64</v>
      </c>
      <c r="K581" s="3">
        <v>1723.92</v>
      </c>
      <c r="L581" s="3">
        <v>449.75</v>
      </c>
      <c r="M581" s="3">
        <v>1349.25</v>
      </c>
      <c r="N581" s="3">
        <v>374.67</v>
      </c>
      <c r="O581" s="4">
        <v>0.21733607127940971</v>
      </c>
      <c r="P581" s="3">
        <v>140000</v>
      </c>
    </row>
    <row r="582" spans="1:16">
      <c r="A582" t="s">
        <v>634</v>
      </c>
      <c r="B582" s="2">
        <v>45826</v>
      </c>
      <c r="C582" t="s">
        <v>24</v>
      </c>
      <c r="D582" t="s">
        <v>30</v>
      </c>
      <c r="E582" t="s">
        <v>19</v>
      </c>
      <c r="F582" t="s">
        <v>50</v>
      </c>
      <c r="G582" t="s">
        <v>21</v>
      </c>
      <c r="H582" t="s">
        <v>47</v>
      </c>
      <c r="I582" s="5">
        <v>2</v>
      </c>
      <c r="J582" s="3">
        <v>42.27</v>
      </c>
      <c r="K582" s="3">
        <v>84.54</v>
      </c>
      <c r="L582" s="3">
        <v>24.69</v>
      </c>
      <c r="M582" s="3">
        <v>49.38</v>
      </c>
      <c r="N582" s="3">
        <v>35.159999999999997</v>
      </c>
      <c r="O582" s="4">
        <v>0.41589779985805531</v>
      </c>
      <c r="P582" s="3">
        <v>135000</v>
      </c>
    </row>
    <row r="583" spans="1:16">
      <c r="A583" t="s">
        <v>635</v>
      </c>
      <c r="B583" s="2">
        <v>46019</v>
      </c>
      <c r="C583" t="s">
        <v>40</v>
      </c>
      <c r="D583" t="s">
        <v>57</v>
      </c>
      <c r="E583" t="s">
        <v>19</v>
      </c>
      <c r="F583" t="s">
        <v>20</v>
      </c>
      <c r="G583" t="s">
        <v>27</v>
      </c>
      <c r="H583" t="s">
        <v>28</v>
      </c>
      <c r="I583" s="5">
        <v>6</v>
      </c>
      <c r="J583" s="3">
        <v>198.71</v>
      </c>
      <c r="K583" s="3">
        <v>1192.26</v>
      </c>
      <c r="L583" s="3">
        <v>117.46</v>
      </c>
      <c r="M583" s="3">
        <v>704.76</v>
      </c>
      <c r="N583" s="3">
        <v>487.5</v>
      </c>
      <c r="O583" s="4">
        <v>0.40888732323486487</v>
      </c>
      <c r="P583" s="3">
        <v>165000</v>
      </c>
    </row>
    <row r="584" spans="1:16">
      <c r="A584" t="s">
        <v>636</v>
      </c>
      <c r="B584" s="2">
        <v>45912</v>
      </c>
      <c r="C584" t="s">
        <v>24</v>
      </c>
      <c r="D584" t="s">
        <v>74</v>
      </c>
      <c r="E584" t="s">
        <v>42</v>
      </c>
      <c r="F584" t="s">
        <v>43</v>
      </c>
      <c r="G584" t="s">
        <v>35</v>
      </c>
      <c r="H584" t="s">
        <v>58</v>
      </c>
      <c r="I584" s="5">
        <v>5</v>
      </c>
      <c r="J584" s="3">
        <v>1059.6600000000001</v>
      </c>
      <c r="K584" s="3">
        <v>5298.3</v>
      </c>
      <c r="L584" s="3">
        <v>691.31</v>
      </c>
      <c r="M584" s="3">
        <v>3456.55</v>
      </c>
      <c r="N584" s="3">
        <v>1841.75</v>
      </c>
      <c r="O584" s="4">
        <v>0.34761149802766922</v>
      </c>
      <c r="P584" s="3">
        <v>135000</v>
      </c>
    </row>
    <row r="585" spans="1:16">
      <c r="A585" t="s">
        <v>637</v>
      </c>
      <c r="B585" s="2">
        <v>45670</v>
      </c>
      <c r="C585" t="s">
        <v>24</v>
      </c>
      <c r="D585" t="s">
        <v>25</v>
      </c>
      <c r="E585" t="s">
        <v>19</v>
      </c>
      <c r="F585" t="s">
        <v>20</v>
      </c>
      <c r="G585" t="s">
        <v>27</v>
      </c>
      <c r="H585" t="s">
        <v>44</v>
      </c>
      <c r="I585" s="5">
        <v>7</v>
      </c>
      <c r="J585" s="3">
        <v>291.2</v>
      </c>
      <c r="K585" s="3">
        <v>2038.4</v>
      </c>
      <c r="L585" s="3">
        <v>208.94</v>
      </c>
      <c r="M585" s="3">
        <v>1462.58</v>
      </c>
      <c r="N585" s="3">
        <v>575.82000000000005</v>
      </c>
      <c r="O585" s="4">
        <v>0.28248626373626373</v>
      </c>
      <c r="P585" s="3">
        <v>135000</v>
      </c>
    </row>
    <row r="586" spans="1:16">
      <c r="A586" t="s">
        <v>638</v>
      </c>
      <c r="B586" s="2">
        <v>45984</v>
      </c>
      <c r="C586" t="s">
        <v>33</v>
      </c>
      <c r="D586" t="s">
        <v>52</v>
      </c>
      <c r="E586" t="s">
        <v>19</v>
      </c>
      <c r="F586" t="s">
        <v>50</v>
      </c>
      <c r="G586" t="s">
        <v>35</v>
      </c>
      <c r="H586" t="s">
        <v>63</v>
      </c>
      <c r="I586" s="5">
        <v>2</v>
      </c>
      <c r="J586" s="3">
        <v>251.6</v>
      </c>
      <c r="K586" s="3">
        <v>503.2</v>
      </c>
      <c r="L586" s="3">
        <v>181.92</v>
      </c>
      <c r="M586" s="3">
        <v>363.84</v>
      </c>
      <c r="N586" s="3">
        <v>139.36000000000001</v>
      </c>
      <c r="O586" s="4">
        <v>0.27694753577106523</v>
      </c>
      <c r="P586" s="3">
        <v>155000</v>
      </c>
    </row>
    <row r="587" spans="1:16">
      <c r="A587" t="s">
        <v>639</v>
      </c>
      <c r="B587" s="2">
        <v>45823</v>
      </c>
      <c r="C587" t="s">
        <v>17</v>
      </c>
      <c r="D587" t="s">
        <v>18</v>
      </c>
      <c r="E587" t="s">
        <v>19</v>
      </c>
      <c r="F587" t="s">
        <v>20</v>
      </c>
      <c r="G587" t="s">
        <v>21</v>
      </c>
      <c r="H587" t="s">
        <v>31</v>
      </c>
      <c r="I587" s="5">
        <v>3</v>
      </c>
      <c r="J587" s="3">
        <v>11.31</v>
      </c>
      <c r="K587" s="3">
        <v>33.93</v>
      </c>
      <c r="L587" s="3">
        <v>6.26</v>
      </c>
      <c r="M587" s="3">
        <v>18.78</v>
      </c>
      <c r="N587" s="3">
        <v>15.15</v>
      </c>
      <c r="O587" s="4">
        <v>0.44650751547303275</v>
      </c>
      <c r="P587" s="3">
        <v>140000</v>
      </c>
    </row>
    <row r="588" spans="1:16">
      <c r="A588" t="s">
        <v>640</v>
      </c>
      <c r="B588" s="2">
        <v>46002</v>
      </c>
      <c r="C588" t="s">
        <v>24</v>
      </c>
      <c r="D588" t="s">
        <v>74</v>
      </c>
      <c r="E588" t="s">
        <v>42</v>
      </c>
      <c r="F588" t="s">
        <v>50</v>
      </c>
      <c r="G588" t="s">
        <v>27</v>
      </c>
      <c r="H588" t="s">
        <v>55</v>
      </c>
      <c r="I588" s="5">
        <v>3</v>
      </c>
      <c r="J588" s="3">
        <v>643.54999999999995</v>
      </c>
      <c r="K588" s="3">
        <v>1930.65</v>
      </c>
      <c r="L588" s="3">
        <v>451.16</v>
      </c>
      <c r="M588" s="3">
        <v>1353.48</v>
      </c>
      <c r="N588" s="3">
        <v>577.16999999999996</v>
      </c>
      <c r="O588" s="4">
        <v>0.29895113044829458</v>
      </c>
      <c r="P588" s="3">
        <v>135000</v>
      </c>
    </row>
    <row r="589" spans="1:16">
      <c r="A589" t="s">
        <v>641</v>
      </c>
      <c r="B589" s="2">
        <v>45932</v>
      </c>
      <c r="C589" t="s">
        <v>40</v>
      </c>
      <c r="D589" t="s">
        <v>57</v>
      </c>
      <c r="E589" t="s">
        <v>42</v>
      </c>
      <c r="F589" t="s">
        <v>20</v>
      </c>
      <c r="G589" t="s">
        <v>21</v>
      </c>
      <c r="H589" t="s">
        <v>31</v>
      </c>
      <c r="I589" s="5">
        <v>5</v>
      </c>
      <c r="J589" s="3">
        <v>12.29</v>
      </c>
      <c r="K589" s="3">
        <v>61.45</v>
      </c>
      <c r="L589" s="3">
        <v>6.17</v>
      </c>
      <c r="M589" s="3">
        <v>30.85</v>
      </c>
      <c r="N589" s="3">
        <v>30.6</v>
      </c>
      <c r="O589" s="4">
        <v>0.4979658258746949</v>
      </c>
      <c r="P589" s="3">
        <v>165000</v>
      </c>
    </row>
    <row r="590" spans="1:16">
      <c r="A590" t="s">
        <v>642</v>
      </c>
      <c r="B590" s="2">
        <v>45942</v>
      </c>
      <c r="C590" t="s">
        <v>17</v>
      </c>
      <c r="D590" t="s">
        <v>60</v>
      </c>
      <c r="E590" t="s">
        <v>19</v>
      </c>
      <c r="F590" t="s">
        <v>20</v>
      </c>
      <c r="G590" t="s">
        <v>35</v>
      </c>
      <c r="H590" t="s">
        <v>36</v>
      </c>
      <c r="I590" s="5">
        <v>2</v>
      </c>
      <c r="J590" s="3">
        <v>38.97</v>
      </c>
      <c r="K590" s="3">
        <v>77.94</v>
      </c>
      <c r="L590" s="3">
        <v>17.78</v>
      </c>
      <c r="M590" s="3">
        <v>35.56</v>
      </c>
      <c r="N590" s="3">
        <v>42.38</v>
      </c>
      <c r="O590" s="4">
        <v>0.54375160379779319</v>
      </c>
      <c r="P590" s="3">
        <v>140000</v>
      </c>
    </row>
    <row r="591" spans="1:16">
      <c r="A591" t="s">
        <v>643</v>
      </c>
      <c r="B591" s="2">
        <v>45673</v>
      </c>
      <c r="C591" t="s">
        <v>40</v>
      </c>
      <c r="D591" t="s">
        <v>57</v>
      </c>
      <c r="E591" t="s">
        <v>19</v>
      </c>
      <c r="F591" t="s">
        <v>43</v>
      </c>
      <c r="G591" t="s">
        <v>27</v>
      </c>
      <c r="H591" t="s">
        <v>44</v>
      </c>
      <c r="I591" s="5">
        <v>3</v>
      </c>
      <c r="J591" s="3">
        <v>329.9</v>
      </c>
      <c r="K591" s="3">
        <v>989.7</v>
      </c>
      <c r="L591" s="3">
        <v>219.76</v>
      </c>
      <c r="M591" s="3">
        <v>659.28</v>
      </c>
      <c r="N591" s="3">
        <v>330.42</v>
      </c>
      <c r="O591" s="4">
        <v>0.33385874507426494</v>
      </c>
      <c r="P591" s="3">
        <v>165000</v>
      </c>
    </row>
    <row r="592" spans="1:16">
      <c r="A592" t="s">
        <v>644</v>
      </c>
      <c r="B592" s="2">
        <v>45815</v>
      </c>
      <c r="C592" t="s">
        <v>40</v>
      </c>
      <c r="D592" t="s">
        <v>41</v>
      </c>
      <c r="E592" t="s">
        <v>26</v>
      </c>
      <c r="F592" t="s">
        <v>20</v>
      </c>
      <c r="G592" t="s">
        <v>35</v>
      </c>
      <c r="H592" t="s">
        <v>58</v>
      </c>
      <c r="I592" s="5">
        <v>6</v>
      </c>
      <c r="J592" s="3">
        <v>949.45</v>
      </c>
      <c r="K592" s="3">
        <v>5696.7</v>
      </c>
      <c r="L592" s="3">
        <v>759.65</v>
      </c>
      <c r="M592" s="3">
        <v>4557.8999999999996</v>
      </c>
      <c r="N592" s="3">
        <v>1138.8</v>
      </c>
      <c r="O592" s="4">
        <v>0.19990520827847702</v>
      </c>
      <c r="P592" s="3">
        <v>165000</v>
      </c>
    </row>
    <row r="593" spans="1:16">
      <c r="A593" t="s">
        <v>645</v>
      </c>
      <c r="B593" s="2">
        <v>45768</v>
      </c>
      <c r="C593" t="s">
        <v>40</v>
      </c>
      <c r="D593" t="s">
        <v>65</v>
      </c>
      <c r="E593" t="s">
        <v>26</v>
      </c>
      <c r="F593" t="s">
        <v>50</v>
      </c>
      <c r="G593" t="s">
        <v>35</v>
      </c>
      <c r="H593" t="s">
        <v>58</v>
      </c>
      <c r="I593" s="5">
        <v>2</v>
      </c>
      <c r="J593" s="3">
        <v>947.75</v>
      </c>
      <c r="K593" s="3">
        <v>1895.5</v>
      </c>
      <c r="L593" s="3">
        <v>693</v>
      </c>
      <c r="M593" s="3">
        <v>1386</v>
      </c>
      <c r="N593" s="3">
        <v>509.5</v>
      </c>
      <c r="O593" s="4">
        <v>0.2687945133210235</v>
      </c>
      <c r="P593" s="3">
        <v>165000</v>
      </c>
    </row>
    <row r="594" spans="1:16">
      <c r="A594" t="s">
        <v>646</v>
      </c>
      <c r="B594" s="2">
        <v>45905</v>
      </c>
      <c r="C594" t="s">
        <v>33</v>
      </c>
      <c r="D594" t="s">
        <v>68</v>
      </c>
      <c r="E594" t="s">
        <v>26</v>
      </c>
      <c r="F594" t="s">
        <v>50</v>
      </c>
      <c r="G594" t="s">
        <v>27</v>
      </c>
      <c r="H594" t="s">
        <v>28</v>
      </c>
      <c r="I594" s="5">
        <v>5</v>
      </c>
      <c r="J594" s="3">
        <v>192.71</v>
      </c>
      <c r="K594" s="3">
        <v>963.55</v>
      </c>
      <c r="L594" s="3">
        <v>112.05</v>
      </c>
      <c r="M594" s="3">
        <v>560.25</v>
      </c>
      <c r="N594" s="3">
        <v>403.3</v>
      </c>
      <c r="O594" s="4">
        <v>0.41855638005292928</v>
      </c>
      <c r="P594" s="3">
        <v>155000</v>
      </c>
    </row>
    <row r="595" spans="1:16">
      <c r="A595" t="s">
        <v>647</v>
      </c>
      <c r="B595" s="2">
        <v>45708</v>
      </c>
      <c r="C595" t="s">
        <v>33</v>
      </c>
      <c r="D595" t="s">
        <v>68</v>
      </c>
      <c r="E595" t="s">
        <v>19</v>
      </c>
      <c r="F595" t="s">
        <v>50</v>
      </c>
      <c r="G595" t="s">
        <v>27</v>
      </c>
      <c r="H595" t="s">
        <v>28</v>
      </c>
      <c r="I595" s="5">
        <v>2</v>
      </c>
      <c r="J595" s="3">
        <v>162.16</v>
      </c>
      <c r="K595" s="3">
        <v>324.32</v>
      </c>
      <c r="L595" s="3">
        <v>121.12</v>
      </c>
      <c r="M595" s="3">
        <v>242.24</v>
      </c>
      <c r="N595" s="3">
        <v>82.08</v>
      </c>
      <c r="O595" s="4">
        <v>0.25308337444499263</v>
      </c>
      <c r="P595" s="3">
        <v>155000</v>
      </c>
    </row>
    <row r="596" spans="1:16">
      <c r="A596" t="s">
        <v>648</v>
      </c>
      <c r="B596" s="2">
        <v>46009</v>
      </c>
      <c r="C596" t="s">
        <v>17</v>
      </c>
      <c r="D596" t="s">
        <v>80</v>
      </c>
      <c r="E596" t="s">
        <v>19</v>
      </c>
      <c r="F596" t="s">
        <v>20</v>
      </c>
      <c r="G596" t="s">
        <v>27</v>
      </c>
      <c r="H596" t="s">
        <v>28</v>
      </c>
      <c r="I596" s="5">
        <v>5</v>
      </c>
      <c r="J596" s="3">
        <v>162.88999999999999</v>
      </c>
      <c r="K596" s="3">
        <v>814.45</v>
      </c>
      <c r="L596" s="3">
        <v>119.12</v>
      </c>
      <c r="M596" s="3">
        <v>595.6</v>
      </c>
      <c r="N596" s="3">
        <v>218.85</v>
      </c>
      <c r="O596" s="4">
        <v>0.26870894468659828</v>
      </c>
      <c r="P596" s="3">
        <v>140000</v>
      </c>
    </row>
    <row r="597" spans="1:16">
      <c r="A597" t="s">
        <v>649</v>
      </c>
      <c r="B597" s="2">
        <v>45985</v>
      </c>
      <c r="C597" t="s">
        <v>33</v>
      </c>
      <c r="D597" t="s">
        <v>34</v>
      </c>
      <c r="E597" t="s">
        <v>26</v>
      </c>
      <c r="F597" t="s">
        <v>20</v>
      </c>
      <c r="G597" t="s">
        <v>27</v>
      </c>
      <c r="H597" t="s">
        <v>28</v>
      </c>
      <c r="I597" s="5">
        <v>6</v>
      </c>
      <c r="J597" s="3">
        <v>192.6</v>
      </c>
      <c r="K597" s="3">
        <v>1155.5999999999999</v>
      </c>
      <c r="L597" s="3">
        <v>118.12</v>
      </c>
      <c r="M597" s="3">
        <v>708.72</v>
      </c>
      <c r="N597" s="3">
        <v>446.88</v>
      </c>
      <c r="O597" s="4">
        <v>0.38670820353063345</v>
      </c>
      <c r="P597" s="3">
        <v>155000</v>
      </c>
    </row>
    <row r="598" spans="1:16">
      <c r="A598" t="s">
        <v>650</v>
      </c>
      <c r="B598" s="2">
        <v>45797</v>
      </c>
      <c r="C598" t="s">
        <v>33</v>
      </c>
      <c r="D598" t="s">
        <v>68</v>
      </c>
      <c r="E598" t="s">
        <v>26</v>
      </c>
      <c r="F598" t="s">
        <v>20</v>
      </c>
      <c r="G598" t="s">
        <v>27</v>
      </c>
      <c r="H598" t="s">
        <v>28</v>
      </c>
      <c r="I598" s="5">
        <v>2</v>
      </c>
      <c r="J598" s="3">
        <v>170.18</v>
      </c>
      <c r="K598" s="3">
        <v>340.36</v>
      </c>
      <c r="L598" s="3">
        <v>114.43</v>
      </c>
      <c r="M598" s="3">
        <v>228.86</v>
      </c>
      <c r="N598" s="3">
        <v>111.5</v>
      </c>
      <c r="O598" s="4">
        <v>0.32759431190504174</v>
      </c>
      <c r="P598" s="3">
        <v>155000</v>
      </c>
    </row>
    <row r="599" spans="1:16">
      <c r="A599" t="s">
        <v>651</v>
      </c>
      <c r="B599" s="2">
        <v>45821</v>
      </c>
      <c r="C599" t="s">
        <v>40</v>
      </c>
      <c r="D599" t="s">
        <v>65</v>
      </c>
      <c r="E599" t="s">
        <v>42</v>
      </c>
      <c r="F599" t="s">
        <v>43</v>
      </c>
      <c r="G599" t="s">
        <v>35</v>
      </c>
      <c r="H599" t="s">
        <v>58</v>
      </c>
      <c r="I599" s="5">
        <v>3</v>
      </c>
      <c r="J599" s="3">
        <v>869.89</v>
      </c>
      <c r="K599" s="3">
        <v>2609.67</v>
      </c>
      <c r="L599" s="3">
        <v>735.35</v>
      </c>
      <c r="M599" s="3">
        <v>2206.0500000000002</v>
      </c>
      <c r="N599" s="3">
        <v>403.62</v>
      </c>
      <c r="O599" s="4">
        <v>0.15466323328236903</v>
      </c>
      <c r="P599" s="3">
        <v>165000</v>
      </c>
    </row>
    <row r="600" spans="1:16">
      <c r="A600" t="s">
        <v>652</v>
      </c>
      <c r="B600" s="2">
        <v>45831</v>
      </c>
      <c r="C600" t="s">
        <v>24</v>
      </c>
      <c r="D600" t="s">
        <v>25</v>
      </c>
      <c r="E600" t="s">
        <v>26</v>
      </c>
      <c r="F600" t="s">
        <v>50</v>
      </c>
      <c r="G600" t="s">
        <v>21</v>
      </c>
      <c r="H600" t="s">
        <v>31</v>
      </c>
      <c r="I600" s="5">
        <v>2</v>
      </c>
      <c r="J600" s="3">
        <v>11.81</v>
      </c>
      <c r="K600" s="3">
        <v>23.62</v>
      </c>
      <c r="L600" s="3">
        <v>5.81</v>
      </c>
      <c r="M600" s="3">
        <v>11.62</v>
      </c>
      <c r="N600" s="3">
        <v>12</v>
      </c>
      <c r="O600" s="4">
        <v>0.5080440304826418</v>
      </c>
      <c r="P600" s="3">
        <v>135000</v>
      </c>
    </row>
    <row r="601" spans="1:16">
      <c r="A601" t="s">
        <v>653</v>
      </c>
      <c r="B601" s="2">
        <v>45858</v>
      </c>
      <c r="C601" t="s">
        <v>33</v>
      </c>
      <c r="D601" t="s">
        <v>54</v>
      </c>
      <c r="E601" t="s">
        <v>19</v>
      </c>
      <c r="F601" t="s">
        <v>20</v>
      </c>
      <c r="G601" t="s">
        <v>35</v>
      </c>
      <c r="H601" t="s">
        <v>58</v>
      </c>
      <c r="I601" s="5">
        <v>2</v>
      </c>
      <c r="J601" s="3">
        <v>1058.5</v>
      </c>
      <c r="K601" s="3">
        <v>2117</v>
      </c>
      <c r="L601" s="3">
        <v>745.61</v>
      </c>
      <c r="M601" s="3">
        <v>1491.22</v>
      </c>
      <c r="N601" s="3">
        <v>625.78</v>
      </c>
      <c r="O601" s="4">
        <v>0.29559754369390645</v>
      </c>
      <c r="P601" s="3">
        <v>155000</v>
      </c>
    </row>
  </sheetData>
  <conditionalFormatting sqref="N2:N601">
    <cfRule type="expression" dxfId="0" priority="1">
      <formula>N2&lt;0</formula>
    </cfRule>
  </conditionalFormatting>
  <conditionalFormatting sqref="O2:O601">
    <cfRule type="colorScale" priority="2">
      <colorScale>
        <cfvo type="min"/>
        <cfvo type="percentile" val="50"/>
        <cfvo type="max"/>
        <color rgb="FFFEE2E2"/>
        <color rgb="FFFEF3C7"/>
        <color rgb="FFDCFCE7"/>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5"/>
  <sheetViews>
    <sheetView workbookViewId="0">
      <selection activeCell="A22" sqref="A22:XFD22"/>
    </sheetView>
  </sheetViews>
  <sheetFormatPr defaultRowHeight="14"/>
  <cols>
    <col min="1" max="1" width="105" customWidth="1"/>
  </cols>
  <sheetData>
    <row r="1" spans="1:1" ht="20" customHeight="1">
      <c r="A1" s="6" t="s">
        <v>654</v>
      </c>
    </row>
    <row r="2" spans="1:1" ht="20" customHeight="1">
      <c r="A2" s="7"/>
    </row>
    <row r="3" spans="1:1" ht="20" customHeight="1">
      <c r="A3" s="8" t="s">
        <v>655</v>
      </c>
    </row>
    <row r="4" spans="1:1" ht="27" customHeight="1">
      <c r="A4" s="7" t="s">
        <v>656</v>
      </c>
    </row>
    <row r="5" spans="1:1" ht="20" customHeight="1">
      <c r="A5" s="7"/>
    </row>
    <row r="6" spans="1:1" ht="20" customHeight="1">
      <c r="A6" s="8" t="s">
        <v>657</v>
      </c>
    </row>
    <row r="7" spans="1:1" ht="20" customHeight="1">
      <c r="A7" s="7" t="s">
        <v>658</v>
      </c>
    </row>
    <row r="8" spans="1:1" ht="20" customHeight="1">
      <c r="A8" s="7"/>
    </row>
    <row r="9" spans="1:1" ht="20" customHeight="1">
      <c r="A9" s="8" t="s">
        <v>659</v>
      </c>
    </row>
    <row r="10" spans="1:1" ht="20" customHeight="1">
      <c r="A10" s="7" t="s">
        <v>660</v>
      </c>
    </row>
    <row r="11" spans="1:1" ht="20" customHeight="1">
      <c r="A11" s="7" t="s">
        <v>661</v>
      </c>
    </row>
    <row r="12" spans="1:1" ht="20" customHeight="1">
      <c r="A12" s="7" t="s">
        <v>662</v>
      </c>
    </row>
    <row r="13" spans="1:1" ht="20" customHeight="1">
      <c r="A13" s="7" t="s">
        <v>663</v>
      </c>
    </row>
    <row r="14" spans="1:1" ht="20" customHeight="1">
      <c r="A14" s="7" t="s">
        <v>664</v>
      </c>
    </row>
    <row r="15" spans="1:1" ht="20" customHeight="1">
      <c r="A15" s="7"/>
    </row>
    <row r="16" spans="1:1" ht="20" customHeight="1">
      <c r="A16" s="8" t="s">
        <v>665</v>
      </c>
    </row>
    <row r="17" spans="1:1" ht="20" customHeight="1">
      <c r="A17" s="7" t="s">
        <v>666</v>
      </c>
    </row>
    <row r="18" spans="1:1" ht="20" customHeight="1">
      <c r="A18" s="7" t="s">
        <v>667</v>
      </c>
    </row>
    <row r="19" spans="1:1" ht="20" customHeight="1">
      <c r="A19" s="7" t="s">
        <v>668</v>
      </c>
    </row>
    <row r="20" spans="1:1" ht="20" customHeight="1">
      <c r="A20" s="7"/>
    </row>
    <row r="21" spans="1:1" ht="20" customHeight="1">
      <c r="A21" s="8" t="s">
        <v>669</v>
      </c>
    </row>
    <row r="22" spans="1:1" ht="34.5" customHeight="1">
      <c r="A22" s="7" t="s">
        <v>670</v>
      </c>
    </row>
    <row r="23" spans="1:1" ht="20" customHeight="1">
      <c r="A23" s="7"/>
    </row>
    <row r="24" spans="1:1" ht="20" customHeight="1">
      <c r="A24" s="8" t="s">
        <v>671</v>
      </c>
    </row>
    <row r="25" spans="1:1" ht="20" customHeight="1">
      <c r="A25" s="7" t="s">
        <v>672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workbookViewId="0"/>
  </sheetViews>
  <sheetFormatPr defaultRowHeight="14"/>
  <cols>
    <col min="1" max="1" width="22" customWidth="1"/>
    <col min="2" max="2" width="65" customWidth="1"/>
  </cols>
  <sheetData>
    <row r="1" spans="1:2">
      <c r="A1" s="9" t="s">
        <v>673</v>
      </c>
      <c r="B1" s="9" t="s">
        <v>674</v>
      </c>
    </row>
    <row r="2" spans="1:2">
      <c r="A2" s="7" t="s">
        <v>0</v>
      </c>
      <c r="B2" s="7" t="s">
        <v>675</v>
      </c>
    </row>
    <row r="3" spans="1:2">
      <c r="A3" s="7" t="s">
        <v>1</v>
      </c>
      <c r="B3" s="7" t="s">
        <v>676</v>
      </c>
    </row>
    <row r="4" spans="1:2">
      <c r="A4" s="7" t="s">
        <v>2</v>
      </c>
      <c r="B4" s="7" t="s">
        <v>677</v>
      </c>
    </row>
    <row r="5" spans="1:2">
      <c r="A5" s="7" t="s">
        <v>3</v>
      </c>
      <c r="B5" s="7" t="s">
        <v>678</v>
      </c>
    </row>
    <row r="6" spans="1:2">
      <c r="A6" s="7" t="s">
        <v>4</v>
      </c>
      <c r="B6" s="7" t="s">
        <v>679</v>
      </c>
    </row>
    <row r="7" spans="1:2">
      <c r="A7" s="7" t="s">
        <v>5</v>
      </c>
      <c r="B7" s="7" t="s">
        <v>680</v>
      </c>
    </row>
    <row r="8" spans="1:2">
      <c r="A8" s="7" t="s">
        <v>6</v>
      </c>
      <c r="B8" s="7" t="s">
        <v>681</v>
      </c>
    </row>
    <row r="9" spans="1:2">
      <c r="A9" s="7" t="s">
        <v>7</v>
      </c>
      <c r="B9" s="7" t="s">
        <v>682</v>
      </c>
    </row>
    <row r="10" spans="1:2">
      <c r="A10" s="7" t="s">
        <v>8</v>
      </c>
      <c r="B10" s="7" t="s">
        <v>683</v>
      </c>
    </row>
    <row r="11" spans="1:2">
      <c r="A11" s="7" t="s">
        <v>9</v>
      </c>
      <c r="B11" s="7" t="s">
        <v>684</v>
      </c>
    </row>
    <row r="12" spans="1:2">
      <c r="A12" s="7" t="s">
        <v>10</v>
      </c>
      <c r="B12" s="7" t="s">
        <v>685</v>
      </c>
    </row>
    <row r="13" spans="1:2">
      <c r="A13" s="7" t="s">
        <v>11</v>
      </c>
      <c r="B13" s="7" t="s">
        <v>686</v>
      </c>
    </row>
    <row r="14" spans="1:2">
      <c r="A14" s="7" t="s">
        <v>12</v>
      </c>
      <c r="B14" s="7" t="s">
        <v>687</v>
      </c>
    </row>
    <row r="15" spans="1:2">
      <c r="A15" s="7" t="s">
        <v>13</v>
      </c>
      <c r="B15" s="7" t="s">
        <v>688</v>
      </c>
    </row>
    <row r="16" spans="1:2">
      <c r="A16" s="7" t="s">
        <v>14</v>
      </c>
      <c r="B16" s="7" t="s">
        <v>689</v>
      </c>
    </row>
    <row r="17" spans="1:2">
      <c r="A17" s="7" t="s">
        <v>15</v>
      </c>
      <c r="B17" s="7" t="s">
        <v>690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CF4B6-6B7D-492A-AA72-06751B5AB5C6}">
  <dimension ref="A2:D5"/>
  <sheetViews>
    <sheetView workbookViewId="0">
      <selection activeCell="Q20" sqref="Q20"/>
    </sheetView>
  </sheetViews>
  <sheetFormatPr defaultRowHeight="14"/>
  <cols>
    <col min="1" max="1" width="11.33203125" bestFit="1" customWidth="1"/>
    <col min="2" max="2" width="15.75" bestFit="1" customWidth="1"/>
  </cols>
  <sheetData>
    <row r="2" spans="1:4">
      <c r="D2" t="s">
        <v>693</v>
      </c>
    </row>
    <row r="3" spans="1:4">
      <c r="A3" s="10" t="s">
        <v>2</v>
      </c>
      <c r="B3" t="s">
        <v>692</v>
      </c>
    </row>
    <row r="4" spans="1:4">
      <c r="A4" t="s">
        <v>40</v>
      </c>
      <c r="B4" s="3">
        <v>200948.78000000003</v>
      </c>
    </row>
    <row r="5" spans="1:4">
      <c r="A5" t="s">
        <v>691</v>
      </c>
      <c r="B5" s="3">
        <v>200948.78000000003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0201F-BDA1-4340-AA0E-E0CAB6381C7C}">
  <dimension ref="A3:B5"/>
  <sheetViews>
    <sheetView workbookViewId="0">
      <selection activeCell="B16" sqref="B16"/>
    </sheetView>
  </sheetViews>
  <sheetFormatPr defaultRowHeight="14"/>
  <cols>
    <col min="1" max="1" width="11.33203125" bestFit="1" customWidth="1"/>
    <col min="2" max="2" width="15" bestFit="1" customWidth="1"/>
  </cols>
  <sheetData>
    <row r="3" spans="1:2">
      <c r="A3" s="10" t="s">
        <v>2</v>
      </c>
      <c r="B3" t="s">
        <v>694</v>
      </c>
    </row>
    <row r="4" spans="1:2">
      <c r="A4" t="s">
        <v>40</v>
      </c>
      <c r="B4" s="5">
        <v>677</v>
      </c>
    </row>
    <row r="5" spans="1:2">
      <c r="A5" t="s">
        <v>691</v>
      </c>
      <c r="B5" s="5">
        <v>677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D1D27-6F9A-4732-A7CD-D1519B969E2A}">
  <dimension ref="A3:B7"/>
  <sheetViews>
    <sheetView workbookViewId="0">
      <selection activeCell="A5" sqref="A5:B5"/>
    </sheetView>
  </sheetViews>
  <sheetFormatPr defaultRowHeight="14"/>
  <cols>
    <col min="1" max="1" width="13.33203125" bestFit="1" customWidth="1"/>
    <col min="2" max="2" width="15.75" bestFit="1" customWidth="1"/>
  </cols>
  <sheetData>
    <row r="3" spans="1:2">
      <c r="A3" s="10" t="s">
        <v>6</v>
      </c>
      <c r="B3" t="s">
        <v>692</v>
      </c>
    </row>
    <row r="4" spans="1:2">
      <c r="A4" t="s">
        <v>27</v>
      </c>
      <c r="B4" s="3">
        <v>86883.099999999977</v>
      </c>
    </row>
    <row r="5" spans="1:2">
      <c r="A5" t="s">
        <v>21</v>
      </c>
      <c r="B5" s="3">
        <v>5563.3000000000011</v>
      </c>
    </row>
    <row r="6" spans="1:2">
      <c r="A6" t="s">
        <v>35</v>
      </c>
      <c r="B6" s="3">
        <v>108502.37999999998</v>
      </c>
    </row>
    <row r="7" spans="1:2">
      <c r="A7" t="s">
        <v>691</v>
      </c>
      <c r="B7" s="3">
        <v>200948.77999999997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3F6FC-66D5-410C-AEB1-96471338E683}">
  <dimension ref="A3:B7"/>
  <sheetViews>
    <sheetView workbookViewId="0">
      <selection activeCell="A5" sqref="A5:B5"/>
    </sheetView>
  </sheetViews>
  <sheetFormatPr defaultRowHeight="14"/>
  <cols>
    <col min="1" max="1" width="13.33203125" bestFit="1" customWidth="1"/>
    <col min="2" max="2" width="12.33203125" bestFit="1" customWidth="1"/>
  </cols>
  <sheetData>
    <row r="3" spans="1:2">
      <c r="A3" s="10" t="s">
        <v>6</v>
      </c>
      <c r="B3" t="s">
        <v>695</v>
      </c>
    </row>
    <row r="4" spans="1:2">
      <c r="A4" t="s">
        <v>27</v>
      </c>
      <c r="B4" s="3">
        <v>28263.349999999991</v>
      </c>
    </row>
    <row r="5" spans="1:2">
      <c r="A5" t="s">
        <v>21</v>
      </c>
      <c r="B5" s="3">
        <v>2582.4700000000007</v>
      </c>
    </row>
    <row r="6" spans="1:2">
      <c r="A6" t="s">
        <v>35</v>
      </c>
      <c r="B6" s="3">
        <v>28929.770000000004</v>
      </c>
    </row>
    <row r="7" spans="1:2">
      <c r="A7" t="s">
        <v>691</v>
      </c>
      <c r="B7" s="3">
        <v>59775.59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DFD34-239D-4BBA-B510-FEF376DF4F72}">
  <dimension ref="A3:C17"/>
  <sheetViews>
    <sheetView workbookViewId="0">
      <selection activeCell="P32" sqref="P32"/>
    </sheetView>
  </sheetViews>
  <sheetFormatPr defaultRowHeight="14"/>
  <cols>
    <col min="1" max="1" width="19.75" customWidth="1"/>
    <col min="2" max="2" width="21.5" bestFit="1" customWidth="1"/>
    <col min="3" max="3" width="15.75" bestFit="1" customWidth="1"/>
  </cols>
  <sheetData>
    <row r="3" spans="1:3">
      <c r="A3" s="10" t="s">
        <v>709</v>
      </c>
      <c r="B3" s="10" t="s">
        <v>710</v>
      </c>
      <c r="C3" t="s">
        <v>692</v>
      </c>
    </row>
    <row r="4" spans="1:3">
      <c r="A4" t="s">
        <v>708</v>
      </c>
      <c r="B4" t="s">
        <v>696</v>
      </c>
      <c r="C4" s="3">
        <v>10378.34</v>
      </c>
    </row>
    <row r="5" spans="1:3">
      <c r="B5" t="s">
        <v>697</v>
      </c>
      <c r="C5" s="3">
        <v>13674.779999999999</v>
      </c>
    </row>
    <row r="6" spans="1:3">
      <c r="B6" t="s">
        <v>698</v>
      </c>
      <c r="C6" s="3">
        <v>13171.47</v>
      </c>
    </row>
    <row r="7" spans="1:3">
      <c r="B7" t="s">
        <v>699</v>
      </c>
      <c r="C7" s="3">
        <v>17657.36</v>
      </c>
    </row>
    <row r="8" spans="1:3">
      <c r="B8" t="s">
        <v>700</v>
      </c>
      <c r="C8" s="3">
        <v>10953.36</v>
      </c>
    </row>
    <row r="9" spans="1:3">
      <c r="B9" t="s">
        <v>701</v>
      </c>
      <c r="C9" s="3">
        <v>29118.909999999996</v>
      </c>
    </row>
    <row r="10" spans="1:3">
      <c r="B10" t="s">
        <v>702</v>
      </c>
      <c r="C10" s="3">
        <v>32319.990000000005</v>
      </c>
    </row>
    <row r="11" spans="1:3">
      <c r="B11" t="s">
        <v>703</v>
      </c>
      <c r="C11" s="3">
        <v>11577.11</v>
      </c>
    </row>
    <row r="12" spans="1:3">
      <c r="B12" t="s">
        <v>704</v>
      </c>
      <c r="C12" s="3">
        <v>15934.89</v>
      </c>
    </row>
    <row r="13" spans="1:3">
      <c r="B13" t="s">
        <v>705</v>
      </c>
      <c r="C13" s="3">
        <v>20314.060000000001</v>
      </c>
    </row>
    <row r="14" spans="1:3">
      <c r="B14" t="s">
        <v>706</v>
      </c>
      <c r="C14" s="3">
        <v>8134.8499999999985</v>
      </c>
    </row>
    <row r="15" spans="1:3">
      <c r="B15" t="s">
        <v>707</v>
      </c>
      <c r="C15" s="3">
        <v>17713.660000000003</v>
      </c>
    </row>
    <row r="16" spans="1:3">
      <c r="A16" t="s">
        <v>711</v>
      </c>
      <c r="C16" s="3">
        <v>200948.78000000003</v>
      </c>
    </row>
    <row r="17" spans="1:3">
      <c r="A17" t="s">
        <v>691</v>
      </c>
      <c r="C17" s="3">
        <v>200948.78000000003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4AC83-89DB-44BF-A910-456C28566761}">
  <dimension ref="A3:B7"/>
  <sheetViews>
    <sheetView workbookViewId="0">
      <selection activeCell="G31" sqref="G31"/>
    </sheetView>
  </sheetViews>
  <sheetFormatPr defaultRowHeight="14"/>
  <cols>
    <col min="1" max="1" width="20.25" bestFit="1" customWidth="1"/>
    <col min="2" max="2" width="15.75" bestFit="1" customWidth="1"/>
  </cols>
  <sheetData>
    <row r="3" spans="1:2">
      <c r="A3" s="10" t="s">
        <v>4</v>
      </c>
      <c r="B3" t="s">
        <v>692</v>
      </c>
    </row>
    <row r="4" spans="1:2">
      <c r="A4" t="s">
        <v>26</v>
      </c>
      <c r="B4" s="3">
        <v>73473.960000000006</v>
      </c>
    </row>
    <row r="5" spans="1:2">
      <c r="A5" t="s">
        <v>19</v>
      </c>
      <c r="B5" s="3">
        <v>65248.069999999978</v>
      </c>
    </row>
    <row r="6" spans="1:2">
      <c r="A6" t="s">
        <v>42</v>
      </c>
      <c r="B6" s="3">
        <v>62226.750000000015</v>
      </c>
    </row>
    <row r="7" spans="1:2">
      <c r="A7" t="s">
        <v>691</v>
      </c>
      <c r="B7" s="3">
        <v>200948.77999999997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Sales_Data</vt:lpstr>
      <vt:lpstr>Project_Guide</vt:lpstr>
      <vt:lpstr>Data_Dictionary</vt:lpstr>
      <vt:lpstr>Revenue by Region</vt:lpstr>
      <vt:lpstr>Quantity by Region</vt:lpstr>
      <vt:lpstr>Revenue by Category</vt:lpstr>
      <vt:lpstr>Profit by Category</vt:lpstr>
      <vt:lpstr>Monthly Revenue</vt:lpstr>
      <vt:lpstr>Revenue by Customer Segment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Linju Aji</cp:lastModifiedBy>
  <dcterms:modified xsi:type="dcterms:W3CDTF">2026-07-24T23:30:49Z</dcterms:modified>
</cp:coreProperties>
</file>